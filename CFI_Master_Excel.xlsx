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0_Waste_Streams" sheetId="2" state="visible" r:id="rId2"/>
    <sheet name="S0_Lab_Analysis" sheetId="3" state="visible" r:id="rId3"/>
    <sheet name="S1_Preprocessing" sheetId="4" state="visible" r:id="rId4"/>
    <sheet name="S1_Lab_Analysis" sheetId="5" state="visible" r:id="rId5"/>
    <sheet name="S2_Chemical_Treatment" sheetId="6" state="visible" r:id="rId6"/>
    <sheet name="S2_Chemical_Library" sheetId="7" state="visible" r:id="rId7"/>
    <sheet name="S3_Biological_Treatment" sheetId="8" state="visible" r:id="rId8"/>
    <sheet name="S3_Biological_Library" sheetId="9" state="visible" r:id="rId9"/>
    <sheet name="S4_BSF_Rearing" sheetId="10" state="visible" r:id="rId10"/>
    <sheet name="S4_BSF_Lab" sheetId="11" state="visible" r:id="rId11"/>
    <sheet name="S5A_Frass_Pathway" sheetId="12" state="visible" r:id="rId12"/>
    <sheet name="S5B_BSF_Extraction" sheetId="13" state="visible" r:id="rId13"/>
    <sheet name="S6_Product_Valuation" sheetId="14" state="visible" r:id="rId14"/>
    <sheet name="Summary_Dashboard" sheetId="15" state="visible" r:id="rId15"/>
    <sheet name="Soil_Fertiliser_Matrix" sheetId="16" state="visible" r:id="rId16"/>
    <sheet name="CAPEX_OPEX" sheetId="17" state="visible" r:id="rId17"/>
  </sheets>
  <definedNames>
    <definedName name="blend_efb_pct">INPUTS!$B$9</definedName>
    <definedName name="blend_opdc_pct">INPUTS!$B$10</definedName>
    <definedName name="ffb_tph">INPUTS!$B$4</definedName>
    <definedName name="op_hours">INPUTS!$B$5</definedName>
    <definedName name="op_days">INPUTS!$B$6</definedName>
    <definedName name="pksa_dose">INPUTS!$B$17</definedName>
    <definedName name="grow_days">INPUTS!$B$30</definedName>
    <definedName name="bsf_area">INPUTS!$B$29</definedName>
    <definedName name="cert_tier">INPUTS!$B$33</definedName>
    <definedName name="bsf_density">INPUTS!$B$28</definedName>
    <definedName name="soil_type">INPUTS!$B$34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0.000"/>
    <numFmt numFmtId="167" formatCode="$#,##0"/>
    <numFmt numFmtId="168" formatCode="$#,##0.0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1"/>
    </font>
    <font>
      <b val="1"/>
    </font>
    <font>
      <b val="1"/>
      <color rgb="00FFFFFF"/>
      <sz val="14"/>
    </font>
    <font>
      <b val="1"/>
      <sz val="11"/>
    </font>
    <font>
      <name val="Calibri"/>
      <b val="1"/>
      <color rgb="00006400"/>
      <sz val="10"/>
    </font>
    <font>
      <b val="1"/>
      <color rgb="00FF0000"/>
    </font>
    <font>
      <b val="1"/>
      <sz val="14"/>
    </font>
    <font>
      <b val="1"/>
      <sz val="12"/>
    </font>
    <font>
      <b val="1"/>
      <color rgb="00006400"/>
      <sz val="12"/>
    </font>
    <font>
      <i val="1"/>
      <color rgb="00FF0000"/>
      <sz val="9"/>
    </font>
    <font>
      <sz val="9"/>
    </font>
    <font>
      <b val="1"/>
      <color rgb="00006400"/>
      <sz val="9"/>
    </font>
    <font>
      <b val="1"/>
      <color rgb="00FF0000"/>
      <sz val="12"/>
    </font>
  </fonts>
  <fills count="7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D6A6A"/>
        <bgColor rgb="002D6A6A"/>
      </patternFill>
    </fill>
    <fill>
      <patternFill patternType="solid">
        <fgColor rgb="00FFF3CD"/>
        <bgColor rgb="00FFF3CD"/>
      </patternFill>
    </fill>
    <fill>
      <patternFill patternType="solid">
        <fgColor rgb="00F0F4F8"/>
        <bgColor rgb="00F0F4F8"/>
      </patternFill>
    </fill>
    <fill>
      <patternFill patternType="solid">
        <fgColor rgb="00FF4444"/>
        <bgColor rgb="00FF4444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0" fontId="0" fillId="0" borderId="1" pivotButton="0" quotePrefix="0" xfId="0"/>
    <xf numFmtId="2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0" fillId="0" borderId="1" pivotButton="0" quotePrefix="0" xfId="0"/>
    <xf numFmtId="0" fontId="8" fillId="0" borderId="0" pivotButton="0" quotePrefix="0" xfId="0"/>
    <xf numFmtId="164" fontId="9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0" fillId="0" borderId="1" pivotButton="0" quotePrefix="0" xfId="0"/>
    <xf numFmtId="167" fontId="4" fillId="5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3" fillId="6" borderId="0" pivotButton="0" quotePrefix="0" xfId="0"/>
    <xf numFmtId="0" fontId="3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167" fontId="9" fillId="5" borderId="1" applyAlignment="1" pivotButton="0" quotePrefix="0" xfId="0">
      <alignment horizontal="right" vertical="center"/>
    </xf>
    <xf numFmtId="168" fontId="4" fillId="0" borderId="1" pivotButton="0" quotePrefix="0" xfId="0"/>
    <xf numFmtId="165" fontId="4" fillId="0" borderId="1" pivotButton="0" quotePrefix="0" xfId="0"/>
    <xf numFmtId="0" fontId="3" fillId="6" borderId="1" pivotButton="0" quotePrefix="0" xfId="0"/>
    <xf numFmtId="168" fontId="3" fillId="6" borderId="1" pivotButton="0" quotePrefix="0" xfId="0"/>
    <xf numFmtId="165" fontId="3" fillId="6" borderId="1" pivotButton="0" quotePrefix="0" xfId="0"/>
    <xf numFmtId="0" fontId="6" fillId="0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2" fillId="0" borderId="1" pivotButton="0" quotePrefix="0" xfId="0"/>
    <xf numFmtId="2" fontId="9" fillId="5" borderId="1" applyAlignment="1" pivotButton="0" quotePrefix="0" xfId="0">
      <alignment horizontal="right" vertical="center"/>
    </xf>
    <xf numFmtId="168" fontId="0" fillId="0" borderId="1" pivotButton="0" quotePrefix="0" xfId="0"/>
    <xf numFmtId="164" fontId="13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7" fontId="13" fillId="5" borderId="1" applyAlignment="1" pivotButton="0" quotePrefix="0" xfId="0">
      <alignment horizontal="right" vertical="center"/>
    </xf>
    <xf numFmtId="167" fontId="17" fillId="5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CFI System</author>
  </authors>
  <commentList>
    <comment ref="E12" authorId="0" shapeId="0">
      <text>
        <t>No verified data for PMF S%</t>
      </text>
    </comment>
    <comment ref="F12" authorId="0" shapeId="0">
      <text>
        <t>No verified data for POME S%</t>
      </text>
    </comment>
    <comment ref="G12" authorId="0" shapeId="0">
      <text>
        <t>No verified data for PKS S%</t>
      </text>
    </comment>
    <comment ref="H12" authorId="0" shapeId="0">
      <text>
        <t>No verified data for PPF S%</t>
      </text>
    </comment>
    <comment ref="I12" authorId="0" shapeId="0">
      <text>
        <t>No verified data for Trunk S%</t>
      </text>
    </comment>
    <comment ref="J12" authorId="0" shapeId="0">
      <text>
        <t>No verified data for Frond S%</t>
      </text>
    </comment>
    <comment ref="K12" authorId="0" shapeId="0">
      <text>
        <t>No verified data for Sludge S%</t>
      </text>
    </comment>
    <comment ref="E13" authorId="0" shapeId="0">
      <text>
        <t>No verified data for PMF Fe_ppm</t>
      </text>
    </comment>
    <comment ref="F13" authorId="0" shapeId="0">
      <text>
        <t>No verified data for POME Fe_ppm</t>
      </text>
    </comment>
    <comment ref="G13" authorId="0" shapeId="0">
      <text>
        <t>No verified data for PKS Fe_ppm</t>
      </text>
    </comment>
    <comment ref="H13" authorId="0" shapeId="0">
      <text>
        <t>No verified data for PPF Fe_ppm</t>
      </text>
    </comment>
    <comment ref="I13" authorId="0" shapeId="0">
      <text>
        <t>No verified data for Trunk Fe_ppm</t>
      </text>
    </comment>
    <comment ref="J13" authorId="0" shapeId="0">
      <text>
        <t>No verified data for Frond Fe_ppm</t>
      </text>
    </comment>
    <comment ref="K13" authorId="0" shapeId="0">
      <text>
        <t>No verified data for Sludge Fe_ppm</t>
      </text>
    </comment>
    <comment ref="E14" authorId="0" shapeId="0">
      <text>
        <t>No verified data for PMF Zn_ppm</t>
      </text>
    </comment>
    <comment ref="F14" authorId="0" shapeId="0">
      <text>
        <t>No verified data for POME Zn_ppm</t>
      </text>
    </comment>
    <comment ref="G14" authorId="0" shapeId="0">
      <text>
        <t>No verified data for PKS Zn_ppm</t>
      </text>
    </comment>
    <comment ref="H14" authorId="0" shapeId="0">
      <text>
        <t>No verified data for PPF Zn_ppm</t>
      </text>
    </comment>
    <comment ref="I14" authorId="0" shapeId="0">
      <text>
        <t>No verified data for Trunk Zn_ppm</t>
      </text>
    </comment>
    <comment ref="J14" authorId="0" shapeId="0">
      <text>
        <t>No verified data for Frond Zn_ppm</t>
      </text>
    </comment>
    <comment ref="K14" authorId="0" shapeId="0">
      <text>
        <t>No verified data for Sludge Zn_ppm</t>
      </text>
    </comment>
    <comment ref="E15" authorId="0" shapeId="0">
      <text>
        <t>No verified data for PMF Cu_ppm</t>
      </text>
    </comment>
    <comment ref="F15" authorId="0" shapeId="0">
      <text>
        <t>No verified data for POME Cu_ppm</t>
      </text>
    </comment>
    <comment ref="G15" authorId="0" shapeId="0">
      <text>
        <t>No verified data for PKS Cu_ppm</t>
      </text>
    </comment>
    <comment ref="H15" authorId="0" shapeId="0">
      <text>
        <t>No verified data for PPF Cu_ppm</t>
      </text>
    </comment>
    <comment ref="I15" authorId="0" shapeId="0">
      <text>
        <t>No verified data for Trunk Cu_ppm</t>
      </text>
    </comment>
    <comment ref="J15" authorId="0" shapeId="0">
      <text>
        <t>No verified data for Frond Cu_ppm</t>
      </text>
    </comment>
    <comment ref="K15" authorId="0" shapeId="0">
      <text>
        <t>No verified data for Sludge Cu_ppm</t>
      </text>
    </comment>
    <comment ref="E16" authorId="0" shapeId="0">
      <text>
        <t>No verified data for PMF Mn_ppm</t>
      </text>
    </comment>
    <comment ref="F16" authorId="0" shapeId="0">
      <text>
        <t>No verified data for POME Mn_ppm</t>
      </text>
    </comment>
    <comment ref="G16" authorId="0" shapeId="0">
      <text>
        <t>No verified data for PKS Mn_ppm</t>
      </text>
    </comment>
    <comment ref="H16" authorId="0" shapeId="0">
      <text>
        <t>No verified data for PPF Mn_ppm</t>
      </text>
    </comment>
    <comment ref="I16" authorId="0" shapeId="0">
      <text>
        <t>No verified data for Trunk Mn_ppm</t>
      </text>
    </comment>
    <comment ref="J16" authorId="0" shapeId="0">
      <text>
        <t>No verified data for Frond Mn_ppm</t>
      </text>
    </comment>
    <comment ref="K16" authorId="0" shapeId="0">
      <text>
        <t>No verified data for Sludge Mn_ppm</t>
      </text>
    </comment>
    <comment ref="E17" authorId="0" shapeId="0">
      <text>
        <t>No verified data for PMF B_ppm</t>
      </text>
    </comment>
    <comment ref="F17" authorId="0" shapeId="0">
      <text>
        <t>No verified data for POME B_ppm</t>
      </text>
    </comment>
    <comment ref="G17" authorId="0" shapeId="0">
      <text>
        <t>No verified data for PKS B_ppm</t>
      </text>
    </comment>
    <comment ref="H17" authorId="0" shapeId="0">
      <text>
        <t>No verified data for PPF B_ppm</t>
      </text>
    </comment>
    <comment ref="I17" authorId="0" shapeId="0">
      <text>
        <t>No verified data for Trunk B_ppm</t>
      </text>
    </comment>
    <comment ref="J17" authorId="0" shapeId="0">
      <text>
        <t>No verified data for Frond B_ppm</t>
      </text>
    </comment>
    <comment ref="K17" authorId="0" shapeId="0">
      <text>
        <t>No verified data for Sludge B_ppm</t>
      </text>
    </comment>
  </commentList>
</comments>
</file>

<file path=xl/comments/comment2.xml><?xml version="1.0" encoding="utf-8"?>
<comments xmlns="http://schemas.openxmlformats.org/spreadsheetml/2006/main">
  <authors>
    <author>CFI System</author>
  </authors>
  <commentList>
    <comment ref="B17" authorId="0" shapeId="0">
      <text>
        <t>PKSA cost = $0 at mill gate (Guardrail 3)</t>
      </text>
    </comment>
  </commentList>
</comments>
</file>

<file path=xl/comments/comment3.xml><?xml version="1.0" encoding="utf-8"?>
<comments xmlns="http://schemas.openxmlformats.org/spreadsheetml/2006/main">
  <authors>
    <author>Dr. Karim Hassan</author>
  </authors>
  <commentList>
    <comment ref="C5" authorId="0" shapeId="0">
      <text>
        <t>pH rises to 10-12 after PKSA soaking</t>
      </text>
    </comment>
  </commentList>
</comments>
</file>

<file path=xl/comments/comment4.xml><?xml version="1.0" encoding="utf-8"?>
<comments xmlns="http://schemas.openxmlformats.org/spreadsheetml/2006/main">
  <authors>
    <author>CFI System</author>
    <author>CFI System — Guardrail 2</author>
  </authors>
  <commentList>
    <comment ref="E4" authorId="0" shapeId="0">
      <text>
        <t>PKSA mill-gate cost is ALWAYS $0 (Guardrail 3)</t>
      </text>
    </comment>
    <comment ref="A14" authorId="1" shapeId="0">
      <text>
        <t>ALERT: NaOH selected. Caustic soda requires full PPE (gloves, goggles, face shield). Risk of substrate over-alkalisation above pH 13. Neutralise fully before BSF inoculation. PKSA is the safer zero-cost alternative.</t>
      </text>
    </comment>
  </commentList>
</comments>
</file>

<file path=xl/comments/comment5.xml><?xml version="1.0" encoding="utf-8"?>
<comments xmlns="http://schemas.openxmlformats.org/spreadsheetml/2006/main">
  <authors>
    <author>Mr. Budi Santoso</author>
  </authors>
  <commentList>
    <comment ref="B31" authorId="0" shapeId="0">
      <text>
        <t>Default best-5 consortium cost: $5.40/t</t>
      </text>
    </comment>
  </commentList>
</comments>
</file>

<file path=xl/comments/comment6.xml><?xml version="1.0" encoding="utf-8"?>
<comments xmlns="http://schemas.openxmlformats.org/spreadsheetml/2006/main">
  <authors>
    <author>CFI System — Guardrail 1</author>
  </authors>
  <commentList>
    <comment ref="A12" authorId="0" shapeId="0">
      <text>
        <t>ALERT: Bt selected. Bacillus thuringiensis is an entomopathogen. Confirm BSF larval safety protocol before use. Not recommended for active BSF rearing trays.</t>
      </text>
    </comment>
    <comment ref="A13" authorId="0" shapeId="0">
      <text>
        <t>ALERT: Beauveria bassiana is an entomopathogen. RISK of BSF larval mortality. Do NOT use on active BSF rearing trays.</t>
      </text>
    </comment>
  </commentList>
</comments>
</file>

<file path=xl/comments/comment7.xml><?xml version="1.0" encoding="utf-8"?>
<comments xmlns="http://schemas.openxmlformats.org/spreadsheetml/2006/main">
  <authors>
    <author>Mr. Budi Santoso</author>
  </authors>
  <commentList>
    <comment ref="B22" authorId="0" shapeId="0">
      <text>
        <t>Formula: Day6_yield + (grow_days-6)/12 * (Day18_yield - Day6_yield)</t>
      </text>
    </comment>
    <comment ref="B34" authorId="0" shapeId="0">
      <text>
        <t>Frass = substrate - (BSF_FW_yield * 1.15) per tonne</t>
      </text>
    </comment>
  </commentList>
</comments>
</file>

<file path=xl/comments/comment8.xml><?xml version="1.0" encoding="utf-8"?>
<comments xmlns="http://schemas.openxmlformats.org/spreadsheetml/2006/main">
  <authors>
    <author>Dr. Sarah Lim</author>
  </authors>
  <commentList>
    <comment ref="B6" authorId="0" shapeId="0">
      <text>
        <t>Frass = substrate * (1000 - BSF_FW * 1.15) / 1000 kg/t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D4A017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2" customWidth="1" min="3" max="3"/>
    <col width="30" customWidth="1" min="4" max="4"/>
    <col width="40" customWidth="1" min="5" max="5"/>
  </cols>
  <sheetData>
    <row r="1">
      <c r="A1" s="1" t="inlineStr">
        <is>
          <t>CFI MASTER CALCULATOR — INPUT PARAMETERS</t>
        </is>
      </c>
    </row>
    <row r="2">
      <c r="A2" s="2" t="inlineStr">
        <is>
          <t>All yellow cells are user-editable. Changes propagate to all tabs.</t>
        </is>
      </c>
    </row>
    <row r="3">
      <c r="A3" s="3" t="inlineStr">
        <is>
          <t>MILL PARAMETERS</t>
        </is>
      </c>
      <c r="B3" s="3" t="n"/>
      <c r="C3" s="3" t="n"/>
      <c r="D3" s="3" t="n"/>
      <c r="E3" s="3" t="n"/>
    </row>
    <row r="4">
      <c r="A4" s="4" t="inlineStr">
        <is>
          <t>FFB Throughput (TPH)</t>
        </is>
      </c>
      <c r="B4" s="5" t="n">
        <v>60</v>
      </c>
      <c r="C4" s="2" t="inlineStr">
        <is>
          <t>tonnes per hour Fresh Fruit Bunch</t>
        </is>
      </c>
    </row>
    <row r="5">
      <c r="A5" s="4" t="inlineStr">
        <is>
          <t>Operating Hours / Day</t>
        </is>
      </c>
      <c r="B5" s="5" t="n">
        <v>20</v>
      </c>
      <c r="C5" s="2" t="inlineStr">
        <is>
          <t>hours</t>
        </is>
      </c>
    </row>
    <row r="6">
      <c r="A6" s="4" t="inlineStr">
        <is>
          <t>Operating Days / Month</t>
        </is>
      </c>
      <c r="B6" s="5" t="n">
        <v>25</v>
      </c>
      <c r="C6" s="2" t="inlineStr">
        <is>
          <t>days</t>
        </is>
      </c>
    </row>
    <row r="7">
      <c r="A7" s="4" t="inlineStr">
        <is>
          <t>FFB tonnes/day (calculated)</t>
        </is>
      </c>
      <c r="B7" s="6">
        <f>IFERROR(INPUTS!$B$4*INPUTS!$B$5,0)</f>
        <v/>
      </c>
      <c r="C7" s="2" t="inlineStr">
        <is>
          <t>t/day</t>
        </is>
      </c>
    </row>
    <row r="8">
      <c r="A8" s="3" t="inlineStr">
        <is>
          <t>BLEND COMPOSITION (must sum to 100%)</t>
        </is>
      </c>
      <c r="B8" s="3" t="n"/>
      <c r="C8" s="3" t="n"/>
      <c r="D8" s="3" t="n"/>
      <c r="E8" s="3" t="n"/>
    </row>
    <row r="9">
      <c r="A9" s="4" t="inlineStr">
        <is>
          <t>EFB %</t>
        </is>
      </c>
      <c r="B9" s="5" t="n">
        <v>60</v>
      </c>
      <c r="C9" s="2" t="inlineStr">
        <is>
          <t>%</t>
        </is>
      </c>
    </row>
    <row r="10">
      <c r="A10" s="4" t="inlineStr">
        <is>
          <t>OPDC %</t>
        </is>
      </c>
      <c r="B10" s="5" t="n">
        <v>40</v>
      </c>
      <c r="C10" s="2" t="inlineStr">
        <is>
          <t>%</t>
        </is>
      </c>
    </row>
    <row r="11">
      <c r="A11" s="4" t="inlineStr">
        <is>
          <t>Residue 3 %</t>
        </is>
      </c>
      <c r="B11" s="5" t="n">
        <v>0</v>
      </c>
      <c r="C11" s="2" t="inlineStr">
        <is>
          <t>%</t>
        </is>
      </c>
      <c r="D11" s="5" t="inlineStr"/>
      <c r="E11" s="2" t="inlineStr">
        <is>
          <t>(select from dropdown)</t>
        </is>
      </c>
    </row>
    <row r="12">
      <c r="A12" s="4" t="inlineStr">
        <is>
          <t>Residue 4 %</t>
        </is>
      </c>
      <c r="B12" s="5" t="n">
        <v>0</v>
      </c>
      <c r="C12" s="2" t="inlineStr">
        <is>
          <t>%</t>
        </is>
      </c>
      <c r="D12" s="5" t="inlineStr"/>
      <c r="E12" s="2" t="inlineStr">
        <is>
          <t>(select from dropdown)</t>
        </is>
      </c>
    </row>
    <row r="13">
      <c r="A13" s="4" t="inlineStr">
        <is>
          <t>Residue 5 %</t>
        </is>
      </c>
      <c r="B13" s="5" t="n">
        <v>0</v>
      </c>
      <c r="C13" s="2" t="inlineStr">
        <is>
          <t>%</t>
        </is>
      </c>
      <c r="D13" s="5" t="inlineStr"/>
      <c r="E13" s="2" t="inlineStr">
        <is>
          <t>(select from dropdown)</t>
        </is>
      </c>
    </row>
    <row r="14">
      <c r="A14" s="7" t="inlineStr">
        <is>
          <t>Blend Total (must = 100%)</t>
        </is>
      </c>
      <c r="B14" s="6">
        <f>IFERROR(SUM($B$9:$B$13),0)</f>
        <v/>
      </c>
      <c r="C14">
        <f>IF(B14=100,"OK","ERROR: blend must = 100%")</f>
        <v/>
      </c>
    </row>
    <row r="15">
      <c r="A15" s="3" t="inlineStr">
        <is>
          <t>STAGE 2 — CHEMICAL TREATMENT</t>
        </is>
      </c>
      <c r="B15" s="3" t="n"/>
      <c r="C15" s="3" t="n"/>
      <c r="D15" s="3" t="n"/>
      <c r="E15" s="3" t="n"/>
    </row>
    <row r="16">
      <c r="A16" s="4" t="inlineStr">
        <is>
          <t>Chemical Selection</t>
        </is>
      </c>
      <c r="B16" s="5" t="inlineStr">
        <is>
          <t>PKSA</t>
        </is>
      </c>
    </row>
    <row r="17">
      <c r="A17" s="4" t="inlineStr">
        <is>
          <t>PKSA Dose (kg/t substrate)</t>
        </is>
      </c>
      <c r="B17" s="5" t="n">
        <v>8</v>
      </c>
      <c r="C17" s="2" t="inlineStr">
        <is>
          <t>kg/t</t>
        </is>
      </c>
    </row>
    <row r="18">
      <c r="A18" s="4" t="inlineStr">
        <is>
          <t>Chemical Cost ($/t substrate)</t>
        </is>
      </c>
      <c r="B18" s="6">
        <f>IFERROR(VLOOKUP($B$16,S2_Chemical_Library!$A$3:$H$20,5,FALSE),0)</f>
        <v/>
      </c>
      <c r="C18" s="2" t="inlineStr">
        <is>
          <t>$/t</t>
        </is>
      </c>
    </row>
    <row r="19">
      <c r="A19" s="3" t="inlineStr">
        <is>
          <t>STAGE 3 — BIOLOGICAL TREATMENT</t>
        </is>
      </c>
      <c r="B19" s="3" t="n"/>
      <c r="C19" s="3" t="n"/>
      <c r="D19" s="3" t="n"/>
      <c r="E19" s="3" t="n"/>
    </row>
    <row r="20">
      <c r="A20" s="4" t="inlineStr">
        <is>
          <t>Consortium Selection</t>
        </is>
      </c>
      <c r="B20" s="5" t="inlineStr">
        <is>
          <t>Best 5 (Provibio + EM4)</t>
        </is>
      </c>
    </row>
    <row r="21">
      <c r="A21" s="4" t="inlineStr">
        <is>
          <t xml:space="preserve">  Organism 1</t>
        </is>
      </c>
      <c r="B21" s="5" t="inlineStr">
        <is>
          <t>Lactobacillus spp.</t>
        </is>
      </c>
    </row>
    <row r="22">
      <c r="A22" s="4" t="inlineStr">
        <is>
          <t xml:space="preserve">  Organism 2</t>
        </is>
      </c>
      <c r="B22" s="5" t="inlineStr">
        <is>
          <t>Saccharomyces cerevisiae</t>
        </is>
      </c>
    </row>
    <row r="23">
      <c r="A23" s="4" t="inlineStr">
        <is>
          <t xml:space="preserve">  Organism 3</t>
        </is>
      </c>
      <c r="B23" s="5" t="inlineStr">
        <is>
          <t>Bacillus subtilis</t>
        </is>
      </c>
    </row>
    <row r="24">
      <c r="A24" s="4" t="inlineStr">
        <is>
          <t xml:space="preserve">  Organism 4</t>
        </is>
      </c>
      <c r="B24" s="5" t="inlineStr">
        <is>
          <t>Bacillus amyloliquefaciens</t>
        </is>
      </c>
    </row>
    <row r="25">
      <c r="A25" s="4" t="inlineStr">
        <is>
          <t xml:space="preserve">  Organism 5</t>
        </is>
      </c>
      <c r="B25" s="5" t="inlineStr">
        <is>
          <t>Trichoderma harzianum</t>
        </is>
      </c>
    </row>
    <row r="26">
      <c r="A26" s="4" t="inlineStr">
        <is>
          <t>Bio Treatment Days (min 5)</t>
        </is>
      </c>
      <c r="B26" s="5" t="n">
        <v>5</v>
      </c>
    </row>
    <row r="27">
      <c r="A27" s="3" t="inlineStr">
        <is>
          <t>STAGE 4 — BSF REARING</t>
        </is>
      </c>
      <c r="B27" s="3" t="n"/>
      <c r="C27" s="3" t="n"/>
      <c r="D27" s="3" t="n"/>
      <c r="E27" s="3" t="n"/>
    </row>
    <row r="28">
      <c r="A28" s="4" t="inlineStr">
        <is>
          <t>Inoculation Density (neonates/m2)</t>
        </is>
      </c>
      <c r="B28" s="5" t="n">
        <v>5000</v>
      </c>
    </row>
    <row r="29">
      <c r="A29" s="4" t="inlineStr">
        <is>
          <t>BSF Rearing Area (m2)</t>
        </is>
      </c>
      <c r="B29" s="5" t="n">
        <v>1000</v>
      </c>
    </row>
    <row r="30">
      <c r="A30" s="4" t="inlineStr">
        <is>
          <t>Grow-out Days (6-18)</t>
        </is>
      </c>
      <c r="B30" s="5" t="n">
        <v>12</v>
      </c>
    </row>
    <row r="31">
      <c r="A31" s="4" t="inlineStr">
        <is>
          <t>Neonate Cost ($/1000 neonates)</t>
        </is>
      </c>
      <c r="B31" s="5" t="n">
        <v>0.01</v>
      </c>
    </row>
    <row r="32">
      <c r="A32" s="3" t="inlineStr">
        <is>
          <t>CERTIFICATION &amp; SOIL TARGET</t>
        </is>
      </c>
      <c r="B32" s="3" t="n"/>
      <c r="C32" s="3" t="n"/>
      <c r="D32" s="3" t="n"/>
      <c r="E32" s="3" t="n"/>
    </row>
    <row r="33">
      <c r="A33" s="4" t="inlineStr">
        <is>
          <t>Certification Tier</t>
        </is>
      </c>
      <c r="B33" s="5" t="inlineStr">
        <is>
          <t>None</t>
        </is>
      </c>
    </row>
    <row r="34">
      <c r="A34" s="4" t="inlineStr">
        <is>
          <t>Target Soil Type</t>
        </is>
      </c>
      <c r="B34" s="5" t="inlineStr">
        <is>
          <t>All</t>
        </is>
      </c>
    </row>
  </sheetData>
  <mergeCells count="1">
    <mergeCell ref="A1:E1"/>
  </mergeCells>
  <dataValidations count="8">
    <dataValidation sqref="D11 D12 D13" showDropDown="0" showInputMessage="0" showErrorMessage="0" allowBlank="1" error="Select a valid residue" type="list">
      <formula1>"EFB,OPDC,PKSA,PMF,POME,PKS,PPF,Trunk,Frond,Sludge"</formula1>
    </dataValidation>
    <dataValidation sqref="B16" showDropDown="0" showInputMessage="0" showErrorMessage="0" allowBlank="0" error="Select a valid chemical" type="list">
      <formula1>"PKSA,CaCO3,H2O2,Urea,Lime Ca(OH)2,MgSO4,NPK 15-15-15,Molasses,PKSA+CaCO3,PKSA+H2O2+Urea,NaOH"</formula1>
    </dataValidation>
    <dataValidation sqref="B17" showDropDown="0" showInputMessage="0" showErrorMessage="0" allowBlank="0" error="Dose must be 6-10 kg/t" type="decimal" operator="between">
      <formula1>6</formula1>
      <formula2>10</formula2>
    </dataValidation>
    <dataValidation sqref="B21 B22 B23 B24 B25" showDropDown="0" showInputMessage="0" showErrorMessage="0" allowBlank="0" type="list">
      <formula1>"Lactobacillus spp.,Saccharomyces cerevisiae,Bacillus subtilis,Bacillus amyloliquefaciens,Trichoderma harzianum,Aspergillus niger,Pleurotus ostreatus,Phanerochaete chrysosporium,Bacillus thuringiensis,Beauveria bassiana"</formula1>
    </dataValidation>
    <dataValidation sqref="B20" showDropDown="0" showInputMessage="0" showErrorMessage="0" allowBlank="0" type="list">
      <formula1>"Best 5 (Provibio + EM4),Wave 1 Only,Wave 1 + Wave 2,Custom,None"</formula1>
    </dataValidation>
    <dataValidation sqref="B30" showDropDown="0" showInputMessage="0" showErrorMessage="0" allowBlank="0" error="Grow days must be 6-18" type="whole" operator="between">
      <formula1>6</formula1>
      <formula2>18</formula2>
    </dataValidation>
    <dataValidation sqref="B33" showDropDown="0" showInputMessage="0" showErrorMessage="0" allowBlank="0" type="list">
      <formula1>"None,FSSC 22000,ISO 22716"</formula1>
    </dataValidation>
    <dataValidation sqref="B34" showDropDown="0" showInputMessage="0" showErrorMessage="0" allowBlank="0" type="list">
      <formula1>"Inceptisols,Ultisols,Oxisols,Histosols,Spodosols,All"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8" t="inlineStr">
        <is>
          <t>STAGE 0 — WASTE STREAM MASS BALANCE</t>
        </is>
      </c>
    </row>
    <row r="3">
      <c r="A3" s="9" t="inlineStr">
        <is>
          <t>Waste Stream</t>
        </is>
      </c>
      <c r="B3" s="9" t="inlineStr">
        <is>
          <t>Yield (% FFB)</t>
        </is>
      </c>
      <c r="C3" s="9" t="inlineStr">
        <is>
          <t>t/hr</t>
        </is>
      </c>
      <c r="D3" s="9" t="inlineStr">
        <is>
          <t>t/day</t>
        </is>
      </c>
      <c r="E3" s="9" t="inlineStr">
        <is>
          <t>t/month</t>
        </is>
      </c>
      <c r="F3" s="9" t="inlineStr">
        <is>
          <t>DM%</t>
        </is>
      </c>
      <c r="G3" s="9" t="inlineStr">
        <is>
          <t>DM t/month</t>
        </is>
      </c>
    </row>
    <row r="4">
      <c r="A4" s="10" t="inlineStr">
        <is>
          <t>EFB</t>
        </is>
      </c>
      <c r="B4" s="11" t="n">
        <v>0.23</v>
      </c>
      <c r="C4" s="12">
        <f>IFERROR(INPUTS!$B$4*B4,0)</f>
        <v/>
      </c>
      <c r="D4" s="12">
        <f>IFERROR(C4*INPUTS!$B$5,0)</f>
        <v/>
      </c>
      <c r="E4" s="13">
        <f>IFERROR(D4*INPUTS!$B$6,0)</f>
        <v/>
      </c>
      <c r="F4" s="14" t="n">
        <v>0.375</v>
      </c>
      <c r="G4" s="13">
        <f>IFERROR(E4*F4,0)</f>
        <v/>
      </c>
    </row>
    <row r="5">
      <c r="A5" s="10" t="inlineStr">
        <is>
          <t>OPDC</t>
        </is>
      </c>
      <c r="B5" s="11" t="n">
        <v>0.05</v>
      </c>
      <c r="C5" s="12">
        <f>IFERROR(INPUTS!$B$4*B5,0)</f>
        <v/>
      </c>
      <c r="D5" s="12">
        <f>IFERROR(C5*INPUTS!$B$5,0)</f>
        <v/>
      </c>
      <c r="E5" s="13">
        <f>IFERROR(D5*INPUTS!$B$6,0)</f>
        <v/>
      </c>
      <c r="F5" s="14" t="n">
        <v>0.3</v>
      </c>
      <c r="G5" s="13">
        <f>IFERROR(E5*F5,0)</f>
        <v/>
      </c>
    </row>
    <row r="6">
      <c r="A6" s="10" t="inlineStr">
        <is>
          <t>PKSA</t>
        </is>
      </c>
      <c r="B6" s="11" t="n">
        <v>0.008</v>
      </c>
      <c r="C6" s="12">
        <f>IFERROR(INPUTS!$B$4*B6,0)</f>
        <v/>
      </c>
      <c r="D6" s="12">
        <f>IFERROR(C6*INPUTS!$B$5,0)</f>
        <v/>
      </c>
      <c r="E6" s="13">
        <f>IFERROR(D6*INPUTS!$B$6,0)</f>
        <v/>
      </c>
      <c r="F6" s="14" t="n">
        <v>0.98</v>
      </c>
      <c r="G6" s="13">
        <f>IFERROR(E6*F6,0)</f>
        <v/>
      </c>
    </row>
    <row r="7">
      <c r="A7" s="10" t="inlineStr">
        <is>
          <t>PMF</t>
        </is>
      </c>
      <c r="B7" s="11" t="n">
        <v>0.13</v>
      </c>
      <c r="C7" s="12">
        <f>IFERROR(INPUTS!$B$4*B7,0)</f>
        <v/>
      </c>
      <c r="D7" s="12">
        <f>IFERROR(C7*INPUTS!$B$5,0)</f>
        <v/>
      </c>
      <c r="E7" s="13">
        <f>IFERROR(D7*INPUTS!$B$6,0)</f>
        <v/>
      </c>
      <c r="F7" s="14" t="n">
        <v>0.6</v>
      </c>
      <c r="G7" s="13">
        <f>IFERROR(E7*F7,0)</f>
        <v/>
      </c>
    </row>
    <row r="8">
      <c r="A8" s="10" t="inlineStr">
        <is>
          <t>POME</t>
        </is>
      </c>
      <c r="B8" s="11" t="n">
        <v>0.67</v>
      </c>
      <c r="C8" s="12">
        <f>IFERROR(INPUTS!$B$4*B8,0)</f>
        <v/>
      </c>
      <c r="D8" s="12">
        <f>IFERROR(C8*INPUTS!$B$5,0)</f>
        <v/>
      </c>
      <c r="E8" s="13">
        <f>IFERROR(D8*INPUTS!$B$6,0)</f>
        <v/>
      </c>
      <c r="F8" s="14" t="n">
        <v>0.04</v>
      </c>
      <c r="G8" s="13">
        <f>IFERROR(E8*F8,0)</f>
        <v/>
      </c>
    </row>
    <row r="9">
      <c r="A9" s="10" t="inlineStr">
        <is>
          <t>PKS</t>
        </is>
      </c>
      <c r="B9" s="11" t="n">
        <v>0.055</v>
      </c>
      <c r="C9" s="12">
        <f>IFERROR(INPUTS!$B$4*B9,0)</f>
        <v/>
      </c>
      <c r="D9" s="12">
        <f>IFERROR(C9*INPUTS!$B$5,0)</f>
        <v/>
      </c>
      <c r="E9" s="13">
        <f>IFERROR(D9*INPUTS!$B$6,0)</f>
        <v/>
      </c>
      <c r="F9" s="14" t="n">
        <v>0.85</v>
      </c>
      <c r="G9" s="13">
        <f>IFERROR(E9*F9,0)</f>
        <v/>
      </c>
    </row>
    <row r="11">
      <c r="A11" s="3" t="inlineStr">
        <is>
          <t>BLEND MASS BALANCE</t>
        </is>
      </c>
      <c r="B11" s="3" t="n"/>
      <c r="C11" s="3" t="n"/>
      <c r="D11" s="3" t="n"/>
      <c r="E11" s="3" t="n"/>
      <c r="F11" s="3" t="n"/>
      <c r="G11" s="3" t="n"/>
    </row>
    <row r="12">
      <c r="A12" s="4" t="inlineStr">
        <is>
          <t>EFB in Blend (t/month)</t>
        </is>
      </c>
      <c r="B12" s="13">
        <f>IFERROR(E4*INPUTS!$B$9/100,0)</f>
        <v/>
      </c>
    </row>
    <row r="13">
      <c r="A13" s="4" t="inlineStr">
        <is>
          <t>OPDC in Blend (t/month)</t>
        </is>
      </c>
      <c r="B13" s="13">
        <f>IFERROR(E5*INPUTS!$B$10/100,0)</f>
        <v/>
      </c>
    </row>
    <row r="14">
      <c r="A14" s="15" t="inlineStr">
        <is>
          <t>Total Blend Substrate (t/month)</t>
        </is>
      </c>
      <c r="B14" s="16">
        <f>IFERROR(B12+B13,0)</f>
        <v/>
      </c>
    </row>
    <row r="15">
      <c r="A15" s="4" t="inlineStr">
        <is>
          <t>Total Blend Substrate (t/day)</t>
        </is>
      </c>
      <c r="B15" s="13">
        <f>IFERROR(B14/INPUTS!$B$6,0)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A5C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8" t="inlineStr">
        <is>
          <t>STAGE 0 — FULL LAB ANALYSIS MATRIX (DM BASIS)</t>
        </is>
      </c>
    </row>
    <row r="3">
      <c r="A3" s="9" t="inlineStr">
        <is>
          <t>Parameter</t>
        </is>
      </c>
      <c r="B3" s="9" t="inlineStr">
        <is>
          <t>EFB</t>
        </is>
      </c>
      <c r="C3" s="9" t="inlineStr">
        <is>
          <t>OPDC</t>
        </is>
      </c>
      <c r="D3" s="9" t="inlineStr">
        <is>
          <t>PKSA</t>
        </is>
      </c>
      <c r="E3" s="9" t="inlineStr">
        <is>
          <t>PMF</t>
        </is>
      </c>
      <c r="F3" s="9" t="inlineStr">
        <is>
          <t>POME</t>
        </is>
      </c>
      <c r="G3" s="9" t="inlineStr">
        <is>
          <t>PKS</t>
        </is>
      </c>
      <c r="H3" s="9" t="inlineStr">
        <is>
          <t>PPF</t>
        </is>
      </c>
      <c r="I3" s="9" t="inlineStr">
        <is>
          <t>Trunk</t>
        </is>
      </c>
      <c r="J3" s="9" t="inlineStr">
        <is>
          <t>Frond</t>
        </is>
      </c>
      <c r="K3" s="9" t="inlineStr">
        <is>
          <t>Sludge</t>
        </is>
      </c>
      <c r="L3" s="9" t="inlineStr">
        <is>
          <t>60:40 Blend</t>
        </is>
      </c>
    </row>
    <row r="4">
      <c r="A4" s="10" t="inlineStr">
        <is>
          <t>DM%</t>
        </is>
      </c>
      <c r="B4" s="17" t="n">
        <v>37.5</v>
      </c>
      <c r="C4" s="17" t="n">
        <v>30</v>
      </c>
      <c r="D4" s="17" t="n">
        <v>98</v>
      </c>
      <c r="E4" s="17" t="n">
        <v>60</v>
      </c>
      <c r="F4" s="17" t="n">
        <v>4</v>
      </c>
      <c r="G4" s="17" t="n">
        <v>85</v>
      </c>
      <c r="H4" s="17" t="n">
        <v>55</v>
      </c>
      <c r="I4" s="17" t="n">
        <v>25</v>
      </c>
      <c r="J4" s="17" t="n">
        <v>35</v>
      </c>
      <c r="K4" s="17" t="n">
        <v>25</v>
      </c>
      <c r="L4" s="12">
        <f>IFERROR(B4*INPUTS!$B$9/100+C4*INPUTS!$B$10/100,0)</f>
        <v/>
      </c>
    </row>
    <row r="5">
      <c r="A5" s="10" t="inlineStr">
        <is>
          <t>Moisture%</t>
        </is>
      </c>
      <c r="B5" s="17" t="n">
        <v>62.5</v>
      </c>
      <c r="C5" s="17" t="n">
        <v>70</v>
      </c>
      <c r="D5" s="17" t="n">
        <v>2</v>
      </c>
      <c r="E5" s="17" t="n">
        <v>40</v>
      </c>
      <c r="F5" s="17" t="n">
        <v>96</v>
      </c>
      <c r="G5" s="17" t="n">
        <v>15</v>
      </c>
      <c r="H5" s="17" t="n">
        <v>45</v>
      </c>
      <c r="I5" s="17" t="n">
        <v>75</v>
      </c>
      <c r="J5" s="17" t="n">
        <v>65</v>
      </c>
      <c r="K5" s="17" t="n">
        <v>75</v>
      </c>
      <c r="L5" s="12">
        <f>IFERROR(B5*INPUTS!$B$9/100+C5*INPUTS!$B$10/100,0)</f>
        <v/>
      </c>
    </row>
    <row r="6">
      <c r="A6" s="10" t="inlineStr">
        <is>
          <t>pH</t>
        </is>
      </c>
      <c r="B6" s="17" t="n">
        <v>6.5</v>
      </c>
      <c r="C6" s="17" t="n">
        <v>6.8</v>
      </c>
      <c r="D6" s="17" t="n">
        <v>11.2</v>
      </c>
      <c r="E6" s="17" t="n">
        <v>5.5</v>
      </c>
      <c r="F6" s="17" t="n">
        <v>4.5</v>
      </c>
      <c r="G6" s="17" t="n">
        <v>6</v>
      </c>
      <c r="H6" s="17" t="n">
        <v>5.8</v>
      </c>
      <c r="I6" s="17" t="n">
        <v>5.5</v>
      </c>
      <c r="J6" s="17" t="n">
        <v>5.6</v>
      </c>
      <c r="K6" s="17" t="n">
        <v>7</v>
      </c>
      <c r="L6" s="12">
        <f>IFERROR(B6*INPUTS!$B$9/100+C6*INPUTS!$B$10/100,0)</f>
        <v/>
      </c>
    </row>
    <row r="7">
      <c r="A7" s="10" t="inlineStr">
        <is>
          <t>N%</t>
        </is>
      </c>
      <c r="B7" s="17" t="n">
        <v>0.85</v>
      </c>
      <c r="C7" s="17" t="n">
        <v>2.45</v>
      </c>
      <c r="D7" s="17" t="n">
        <v>0.5</v>
      </c>
      <c r="E7" s="17" t="n">
        <v>0.75</v>
      </c>
      <c r="F7" s="17" t="n">
        <v>0.6</v>
      </c>
      <c r="G7" s="17" t="n">
        <v>0.4</v>
      </c>
      <c r="H7" s="17" t="n">
        <v>0.55</v>
      </c>
      <c r="I7" s="17" t="n">
        <v>0.3</v>
      </c>
      <c r="J7" s="17" t="n">
        <v>1.2</v>
      </c>
      <c r="K7" s="17" t="n">
        <v>2.8</v>
      </c>
      <c r="L7" s="12">
        <f>IFERROR(B7*INPUTS!$B$9/100+C7*INPUTS!$B$10/100,0)</f>
        <v/>
      </c>
    </row>
    <row r="8">
      <c r="A8" s="10" t="inlineStr">
        <is>
          <t>P%</t>
        </is>
      </c>
      <c r="B8" s="17" t="n">
        <v>0.34</v>
      </c>
      <c r="C8" s="17" t="n">
        <v>0.43</v>
      </c>
      <c r="D8" s="17" t="n">
        <v>2.94</v>
      </c>
      <c r="E8" s="17" t="n">
        <v>0.1</v>
      </c>
      <c r="F8" s="17" t="n">
        <v>0.25</v>
      </c>
      <c r="G8" s="17" t="n">
        <v>0.05</v>
      </c>
      <c r="H8" s="17" t="n">
        <v>0.08</v>
      </c>
      <c r="I8" s="17" t="n">
        <v>0.03</v>
      </c>
      <c r="J8" s="17" t="n">
        <v>0.12</v>
      </c>
      <c r="K8" s="17" t="n">
        <v>1.5</v>
      </c>
      <c r="L8" s="12">
        <f>IFERROR(B8*INPUTS!$B$9/100+C8*INPUTS!$B$10/100,0)</f>
        <v/>
      </c>
    </row>
    <row r="9">
      <c r="A9" s="10" t="inlineStr">
        <is>
          <t>K%</t>
        </is>
      </c>
      <c r="B9" s="17" t="n">
        <v>2.2</v>
      </c>
      <c r="C9" s="17" t="n">
        <v>2.2</v>
      </c>
      <c r="D9" s="17" t="n">
        <v>12.5</v>
      </c>
      <c r="E9" s="17" t="n">
        <v>1.8</v>
      </c>
      <c r="F9" s="17" t="n">
        <v>1.5</v>
      </c>
      <c r="G9" s="17" t="n">
        <v>0.3</v>
      </c>
      <c r="H9" s="17" t="n">
        <v>1.4</v>
      </c>
      <c r="I9" s="17" t="n">
        <v>0.8</v>
      </c>
      <c r="J9" s="17" t="n">
        <v>1.5</v>
      </c>
      <c r="K9" s="17" t="n">
        <v>0.5</v>
      </c>
      <c r="L9" s="12">
        <f>IFERROR(B9*INPUTS!$B$9/100+C9*INPUTS!$B$10/100,0)</f>
        <v/>
      </c>
    </row>
    <row r="10">
      <c r="A10" s="10" t="inlineStr">
        <is>
          <t>Ca%</t>
        </is>
      </c>
      <c r="B10" s="17" t="n">
        <v>0.2</v>
      </c>
      <c r="C10" s="17" t="n">
        <v>1</v>
      </c>
      <c r="D10" s="17" t="n">
        <v>8.5</v>
      </c>
      <c r="E10" s="17" t="n">
        <v>0.35</v>
      </c>
      <c r="F10" s="17" t="n">
        <v>0.3</v>
      </c>
      <c r="G10" s="17" t="n">
        <v>0.1</v>
      </c>
      <c r="H10" s="17" t="n">
        <v>0.25</v>
      </c>
      <c r="I10" s="17" t="n">
        <v>0.15</v>
      </c>
      <c r="J10" s="17" t="n">
        <v>0.4</v>
      </c>
      <c r="K10" s="17" t="n">
        <v>1.2</v>
      </c>
      <c r="L10" s="12">
        <f>IFERROR(B10*INPUTS!$B$9/100+C10*INPUTS!$B$10/100,0)</f>
        <v/>
      </c>
    </row>
    <row r="11">
      <c r="A11" s="10" t="inlineStr">
        <is>
          <t>Mg%</t>
        </is>
      </c>
      <c r="B11" s="17" t="n">
        <v>0.21</v>
      </c>
      <c r="C11" s="17" t="n">
        <v>0.55</v>
      </c>
      <c r="D11" s="17" t="n">
        <v>2.2</v>
      </c>
      <c r="E11" s="17" t="n">
        <v>0.15</v>
      </c>
      <c r="F11" s="17" t="n">
        <v>0.2</v>
      </c>
      <c r="G11" s="17" t="n">
        <v>0.05</v>
      </c>
      <c r="H11" s="17" t="n">
        <v>0.12</v>
      </c>
      <c r="I11" s="17" t="n">
        <v>0.08</v>
      </c>
      <c r="J11" s="17" t="n">
        <v>0.18</v>
      </c>
      <c r="K11" s="17" t="n">
        <v>0.35</v>
      </c>
      <c r="L11" s="12">
        <f>IFERROR(B11*INPUTS!$B$9/100+C11*INPUTS!$B$10/100,0)</f>
        <v/>
      </c>
    </row>
    <row r="12">
      <c r="A12" s="10" t="inlineStr">
        <is>
          <t>S%</t>
        </is>
      </c>
      <c r="B12" s="17" t="n">
        <v>0.12</v>
      </c>
      <c r="C12" s="17" t="n">
        <v>0.18</v>
      </c>
      <c r="D12" s="17" t="n">
        <v>0.3</v>
      </c>
      <c r="E12" s="18" t="inlineStr">
        <is>
          <t>DATA_GAP</t>
        </is>
      </c>
      <c r="F12" s="18" t="inlineStr">
        <is>
          <t>DATA_GAP</t>
        </is>
      </c>
      <c r="G12" s="18" t="inlineStr">
        <is>
          <t>DATA_GAP</t>
        </is>
      </c>
      <c r="H12" s="18" t="inlineStr">
        <is>
          <t>DATA_GAP</t>
        </is>
      </c>
      <c r="I12" s="18" t="inlineStr">
        <is>
          <t>DATA_GAP</t>
        </is>
      </c>
      <c r="J12" s="18" t="inlineStr">
        <is>
          <t>DATA_GAP</t>
        </is>
      </c>
      <c r="K12" s="18" t="inlineStr">
        <is>
          <t>DATA_GAP</t>
        </is>
      </c>
      <c r="L12" s="12">
        <f>IFERROR(B12*INPUTS!$B$9/100+C12*INPUTS!$B$10/100,0)</f>
        <v/>
      </c>
    </row>
    <row r="13">
      <c r="A13" s="10" t="inlineStr">
        <is>
          <t>Fe_ppm</t>
        </is>
      </c>
      <c r="B13" s="17" t="n">
        <v>1200</v>
      </c>
      <c r="C13" s="17" t="n">
        <v>800</v>
      </c>
      <c r="D13" s="17" t="n">
        <v>5000</v>
      </c>
      <c r="E13" s="18" t="inlineStr">
        <is>
          <t>DATA_GAP</t>
        </is>
      </c>
      <c r="F13" s="18" t="inlineStr">
        <is>
          <t>DATA_GAP</t>
        </is>
      </c>
      <c r="G13" s="18" t="inlineStr">
        <is>
          <t>DATA_GAP</t>
        </is>
      </c>
      <c r="H13" s="18" t="inlineStr">
        <is>
          <t>DATA_GAP</t>
        </is>
      </c>
      <c r="I13" s="18" t="inlineStr">
        <is>
          <t>DATA_GAP</t>
        </is>
      </c>
      <c r="J13" s="18" t="inlineStr">
        <is>
          <t>DATA_GAP</t>
        </is>
      </c>
      <c r="K13" s="18" t="inlineStr">
        <is>
          <t>DATA_GAP</t>
        </is>
      </c>
      <c r="L13" s="12">
        <f>IFERROR(B13*INPUTS!$B$9/100+C13*INPUTS!$B$10/100,0)</f>
        <v/>
      </c>
    </row>
    <row r="14">
      <c r="A14" s="10" t="inlineStr">
        <is>
          <t>Zn_ppm</t>
        </is>
      </c>
      <c r="B14" s="17" t="n">
        <v>25</v>
      </c>
      <c r="C14" s="17" t="n">
        <v>45</v>
      </c>
      <c r="D14" s="17" t="n">
        <v>60</v>
      </c>
      <c r="E14" s="18" t="inlineStr">
        <is>
          <t>DATA_GAP</t>
        </is>
      </c>
      <c r="F14" s="18" t="inlineStr">
        <is>
          <t>DATA_GAP</t>
        </is>
      </c>
      <c r="G14" s="18" t="inlineStr">
        <is>
          <t>DATA_GAP</t>
        </is>
      </c>
      <c r="H14" s="18" t="inlineStr">
        <is>
          <t>DATA_GAP</t>
        </is>
      </c>
      <c r="I14" s="18" t="inlineStr">
        <is>
          <t>DATA_GAP</t>
        </is>
      </c>
      <c r="J14" s="18" t="inlineStr">
        <is>
          <t>DATA_GAP</t>
        </is>
      </c>
      <c r="K14" s="18" t="inlineStr">
        <is>
          <t>DATA_GAP</t>
        </is>
      </c>
      <c r="L14" s="12">
        <f>IFERROR(B14*INPUTS!$B$9/100+C14*INPUTS!$B$10/100,0)</f>
        <v/>
      </c>
    </row>
    <row r="15">
      <c r="A15" s="10" t="inlineStr">
        <is>
          <t>Cu_ppm</t>
        </is>
      </c>
      <c r="B15" s="17" t="n">
        <v>8</v>
      </c>
      <c r="C15" s="17" t="n">
        <v>15</v>
      </c>
      <c r="D15" s="17" t="n">
        <v>30</v>
      </c>
      <c r="E15" s="18" t="inlineStr">
        <is>
          <t>DATA_GAP</t>
        </is>
      </c>
      <c r="F15" s="18" t="inlineStr">
        <is>
          <t>DATA_GAP</t>
        </is>
      </c>
      <c r="G15" s="18" t="inlineStr">
        <is>
          <t>DATA_GAP</t>
        </is>
      </c>
      <c r="H15" s="18" t="inlineStr">
        <is>
          <t>DATA_GAP</t>
        </is>
      </c>
      <c r="I15" s="18" t="inlineStr">
        <is>
          <t>DATA_GAP</t>
        </is>
      </c>
      <c r="J15" s="18" t="inlineStr">
        <is>
          <t>DATA_GAP</t>
        </is>
      </c>
      <c r="K15" s="18" t="inlineStr">
        <is>
          <t>DATA_GAP</t>
        </is>
      </c>
      <c r="L15" s="12">
        <f>IFERROR(B15*INPUTS!$B$9/100+C15*INPUTS!$B$10/100,0)</f>
        <v/>
      </c>
    </row>
    <row r="16">
      <c r="A16" s="10" t="inlineStr">
        <is>
          <t>Mn_ppm</t>
        </is>
      </c>
      <c r="B16" s="17" t="n">
        <v>50</v>
      </c>
      <c r="C16" s="17" t="n">
        <v>80</v>
      </c>
      <c r="D16" s="17" t="n">
        <v>200</v>
      </c>
      <c r="E16" s="18" t="inlineStr">
        <is>
          <t>DATA_GAP</t>
        </is>
      </c>
      <c r="F16" s="18" t="inlineStr">
        <is>
          <t>DATA_GAP</t>
        </is>
      </c>
      <c r="G16" s="18" t="inlineStr">
        <is>
          <t>DATA_GAP</t>
        </is>
      </c>
      <c r="H16" s="18" t="inlineStr">
        <is>
          <t>DATA_GAP</t>
        </is>
      </c>
      <c r="I16" s="18" t="inlineStr">
        <is>
          <t>DATA_GAP</t>
        </is>
      </c>
      <c r="J16" s="18" t="inlineStr">
        <is>
          <t>DATA_GAP</t>
        </is>
      </c>
      <c r="K16" s="18" t="inlineStr">
        <is>
          <t>DATA_GAP</t>
        </is>
      </c>
      <c r="L16" s="12">
        <f>IFERROR(B16*INPUTS!$B$9/100+C16*INPUTS!$B$10/100,0)</f>
        <v/>
      </c>
    </row>
    <row r="17">
      <c r="A17" s="10" t="inlineStr">
        <is>
          <t>B_ppm</t>
        </is>
      </c>
      <c r="B17" s="17" t="n">
        <v>12</v>
      </c>
      <c r="C17" s="17" t="n">
        <v>8</v>
      </c>
      <c r="D17" s="17" t="n">
        <v>20</v>
      </c>
      <c r="E17" s="18" t="inlineStr">
        <is>
          <t>DATA_GAP</t>
        </is>
      </c>
      <c r="F17" s="18" t="inlineStr">
        <is>
          <t>DATA_GAP</t>
        </is>
      </c>
      <c r="G17" s="18" t="inlineStr">
        <is>
          <t>DATA_GAP</t>
        </is>
      </c>
      <c r="H17" s="18" t="inlineStr">
        <is>
          <t>DATA_GAP</t>
        </is>
      </c>
      <c r="I17" s="18" t="inlineStr">
        <is>
          <t>DATA_GAP</t>
        </is>
      </c>
      <c r="J17" s="18" t="inlineStr">
        <is>
          <t>DATA_GAP</t>
        </is>
      </c>
      <c r="K17" s="18" t="inlineStr">
        <is>
          <t>DATA_GAP</t>
        </is>
      </c>
      <c r="L17" s="12">
        <f>IFERROR(B17*INPUTS!$B$9/100+C17*INPUTS!$B$10/100,0)</f>
        <v/>
      </c>
    </row>
    <row r="18">
      <c r="A18" s="10" t="inlineStr">
        <is>
          <t>OM%</t>
        </is>
      </c>
      <c r="B18" s="17" t="n">
        <v>95</v>
      </c>
      <c r="C18" s="17" t="n">
        <v>83.5</v>
      </c>
      <c r="D18" s="17" t="n">
        <v>0</v>
      </c>
      <c r="E18" s="17" t="n">
        <v>92</v>
      </c>
      <c r="F18" s="17" t="n">
        <v>70</v>
      </c>
      <c r="G18" s="17" t="n">
        <v>96</v>
      </c>
      <c r="H18" s="17" t="n">
        <v>90</v>
      </c>
      <c r="I18" s="17" t="n">
        <v>88</v>
      </c>
      <c r="J18" s="17" t="n">
        <v>85</v>
      </c>
      <c r="K18" s="17" t="n">
        <v>60</v>
      </c>
      <c r="L18" s="12">
        <f>IFERROR(B18*INPUTS!$B$9/100+C18*INPUTS!$B$10/100,0)</f>
        <v/>
      </c>
    </row>
    <row r="19">
      <c r="A19" s="10" t="inlineStr">
        <is>
          <t>Ash%</t>
        </is>
      </c>
      <c r="B19" s="17" t="n">
        <v>5</v>
      </c>
      <c r="C19" s="17" t="n">
        <v>16.5</v>
      </c>
      <c r="D19" s="17" t="n">
        <v>100</v>
      </c>
      <c r="E19" s="17" t="n">
        <v>8</v>
      </c>
      <c r="F19" s="17" t="n">
        <v>30</v>
      </c>
      <c r="G19" s="17" t="n">
        <v>4</v>
      </c>
      <c r="H19" s="17" t="n">
        <v>10</v>
      </c>
      <c r="I19" s="17" t="n">
        <v>12</v>
      </c>
      <c r="J19" s="17" t="n">
        <v>15</v>
      </c>
      <c r="K19" s="17" t="n">
        <v>40</v>
      </c>
      <c r="L19" s="12">
        <f>IFERROR(B19*INPUTS!$B$9/100+C19*INPUTS!$B$10/100,0)</f>
        <v/>
      </c>
    </row>
    <row r="20">
      <c r="A20" s="10" t="inlineStr">
        <is>
          <t>Lignin%</t>
        </is>
      </c>
      <c r="B20" s="17" t="n">
        <v>22</v>
      </c>
      <c r="C20" s="17" t="n">
        <v>30.7</v>
      </c>
      <c r="D20" s="17" t="n">
        <v>0</v>
      </c>
      <c r="E20" s="17" t="n">
        <v>27</v>
      </c>
      <c r="F20" s="17" t="n">
        <v>0</v>
      </c>
      <c r="G20" s="17" t="n">
        <v>50</v>
      </c>
      <c r="H20" s="17" t="n">
        <v>24</v>
      </c>
      <c r="I20" s="17" t="n">
        <v>18</v>
      </c>
      <c r="J20" s="17" t="n">
        <v>20</v>
      </c>
      <c r="K20" s="17" t="n">
        <v>5</v>
      </c>
      <c r="L20" s="12">
        <f>IFERROR(B20*INPUTS!$B$9/100+C20*INPUTS!$B$10/100,0)</f>
        <v/>
      </c>
    </row>
    <row r="21">
      <c r="A21" s="10" t="inlineStr">
        <is>
          <t>Cellulose%</t>
        </is>
      </c>
      <c r="B21" s="17" t="n">
        <v>35</v>
      </c>
      <c r="C21" s="17" t="n">
        <v>22</v>
      </c>
      <c r="D21" s="17" t="n">
        <v>0</v>
      </c>
      <c r="E21" s="17" t="n">
        <v>33</v>
      </c>
      <c r="F21" s="17" t="n">
        <v>0</v>
      </c>
      <c r="G21" s="17" t="n">
        <v>30</v>
      </c>
      <c r="H21" s="17" t="n">
        <v>32</v>
      </c>
      <c r="I21" s="17" t="n">
        <v>40</v>
      </c>
      <c r="J21" s="17" t="n">
        <v>38</v>
      </c>
      <c r="K21" s="17" t="n">
        <v>8</v>
      </c>
      <c r="L21" s="12">
        <f>IFERROR(B21*INPUTS!$B$9/100+C21*INPUTS!$B$10/100,0)</f>
        <v/>
      </c>
    </row>
    <row r="22">
      <c r="A22" s="10" t="inlineStr">
        <is>
          <t>C_N_ratio</t>
        </is>
      </c>
      <c r="B22" s="17" t="n">
        <v>60</v>
      </c>
      <c r="C22" s="17" t="n">
        <v>20</v>
      </c>
      <c r="D22" s="17" t="n">
        <v>0</v>
      </c>
      <c r="E22" s="17" t="n">
        <v>55</v>
      </c>
      <c r="F22" s="17" t="n">
        <v>12</v>
      </c>
      <c r="G22" s="17" t="n">
        <v>100</v>
      </c>
      <c r="H22" s="17" t="n">
        <v>65</v>
      </c>
      <c r="I22" s="17" t="n">
        <v>80</v>
      </c>
      <c r="J22" s="17" t="n">
        <v>40</v>
      </c>
      <c r="K22" s="17" t="n">
        <v>10</v>
      </c>
      <c r="L22" s="12">
        <f>IFERROR(B22*INPUTS!$B$9/100+C22*INPUTS!$B$10/100,0)</f>
        <v/>
      </c>
    </row>
    <row r="24">
      <c r="A24" s="3" t="inlineStr">
        <is>
          <t>AS-RECEIVED BASIS (multiply DM-basis values by DM%/100)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2" t="inlineStr">
        <is>
          <t>(N, P, K, Ca, Mg as-received shown below)</t>
        </is>
      </c>
    </row>
    <row r="26">
      <c r="A26" s="10" t="inlineStr">
        <is>
          <t>N% (AR)</t>
        </is>
      </c>
      <c r="B26" s="19">
        <f>IFERROR(B7*B4/100,0)</f>
        <v/>
      </c>
      <c r="C26" s="19">
        <f>IFERROR(C7*C4/100,0)</f>
        <v/>
      </c>
      <c r="D26" s="19">
        <f>IFERROR(D7*D4/100,0)</f>
        <v/>
      </c>
      <c r="E26" s="19">
        <f>IFERROR(E7*E4/100,0)</f>
        <v/>
      </c>
      <c r="F26" s="19">
        <f>IFERROR(F7*F4/100,0)</f>
        <v/>
      </c>
      <c r="G26" s="19">
        <f>IFERROR(G7*G4/100,0)</f>
        <v/>
      </c>
      <c r="H26" s="19">
        <f>IFERROR(H7*H4/100,0)</f>
        <v/>
      </c>
      <c r="I26" s="19">
        <f>IFERROR(I7*I4/100,0)</f>
        <v/>
      </c>
      <c r="J26" s="19">
        <f>IFERROR(J7*J4/100,0)</f>
        <v/>
      </c>
      <c r="K26" s="19">
        <f>IFERROR(K7*K4/100,0)</f>
        <v/>
      </c>
    </row>
    <row r="27">
      <c r="A27" s="10" t="inlineStr">
        <is>
          <t>P% (AR)</t>
        </is>
      </c>
      <c r="B27" s="19">
        <f>IFERROR(B8*B4/100,0)</f>
        <v/>
      </c>
      <c r="C27" s="19">
        <f>IFERROR(C8*C4/100,0)</f>
        <v/>
      </c>
      <c r="D27" s="19">
        <f>IFERROR(D8*D4/100,0)</f>
        <v/>
      </c>
      <c r="E27" s="19">
        <f>IFERROR(E8*E4/100,0)</f>
        <v/>
      </c>
      <c r="F27" s="19">
        <f>IFERROR(F8*F4/100,0)</f>
        <v/>
      </c>
      <c r="G27" s="19">
        <f>IFERROR(G8*G4/100,0)</f>
        <v/>
      </c>
      <c r="H27" s="19">
        <f>IFERROR(H8*H4/100,0)</f>
        <v/>
      </c>
      <c r="I27" s="19">
        <f>IFERROR(I8*I4/100,0)</f>
        <v/>
      </c>
      <c r="J27" s="19">
        <f>IFERROR(J8*J4/100,0)</f>
        <v/>
      </c>
      <c r="K27" s="19">
        <f>IFERROR(K8*K4/100,0)</f>
        <v/>
      </c>
    </row>
    <row r="28">
      <c r="A28" s="10" t="inlineStr">
        <is>
          <t>K% (AR)</t>
        </is>
      </c>
      <c r="B28" s="19">
        <f>IFERROR(B9*B4/100,0)</f>
        <v/>
      </c>
      <c r="C28" s="19">
        <f>IFERROR(C9*C4/100,0)</f>
        <v/>
      </c>
      <c r="D28" s="19">
        <f>IFERROR(D9*D4/100,0)</f>
        <v/>
      </c>
      <c r="E28" s="19">
        <f>IFERROR(E9*E4/100,0)</f>
        <v/>
      </c>
      <c r="F28" s="19">
        <f>IFERROR(F9*F4/100,0)</f>
        <v/>
      </c>
      <c r="G28" s="19">
        <f>IFERROR(G9*G4/100,0)</f>
        <v/>
      </c>
      <c r="H28" s="19">
        <f>IFERROR(H9*H4/100,0)</f>
        <v/>
      </c>
      <c r="I28" s="19">
        <f>IFERROR(I9*I4/100,0)</f>
        <v/>
      </c>
      <c r="J28" s="19">
        <f>IFERROR(J9*J4/100,0)</f>
        <v/>
      </c>
      <c r="K28" s="19">
        <f>IFERROR(K9*K4/100,0)</f>
        <v/>
      </c>
    </row>
    <row r="29">
      <c r="A29" s="10" t="inlineStr">
        <is>
          <t>Ca% (AR)</t>
        </is>
      </c>
      <c r="B29" s="19">
        <f>IFERROR(B10*B4/100,0)</f>
        <v/>
      </c>
      <c r="C29" s="19">
        <f>IFERROR(C10*C4/100,0)</f>
        <v/>
      </c>
      <c r="D29" s="19">
        <f>IFERROR(D10*D4/100,0)</f>
        <v/>
      </c>
      <c r="E29" s="19">
        <f>IFERROR(E10*E4/100,0)</f>
        <v/>
      </c>
      <c r="F29" s="19">
        <f>IFERROR(F10*F4/100,0)</f>
        <v/>
      </c>
      <c r="G29" s="19">
        <f>IFERROR(G10*G4/100,0)</f>
        <v/>
      </c>
      <c r="H29" s="19">
        <f>IFERROR(H10*H4/100,0)</f>
        <v/>
      </c>
      <c r="I29" s="19">
        <f>IFERROR(I10*I4/100,0)</f>
        <v/>
      </c>
      <c r="J29" s="19">
        <f>IFERROR(J10*J4/100,0)</f>
        <v/>
      </c>
      <c r="K29" s="19">
        <f>IFERROR(K10*K4/100,0)</f>
        <v/>
      </c>
    </row>
    <row r="30">
      <c r="A30" s="10" t="inlineStr">
        <is>
          <t>Mg% (AR)</t>
        </is>
      </c>
      <c r="B30" s="19">
        <f>IFERROR(B11*B4/100,0)</f>
        <v/>
      </c>
      <c r="C30" s="19">
        <f>IFERROR(C11*C4/100,0)</f>
        <v/>
      </c>
      <c r="D30" s="19">
        <f>IFERROR(D11*D4/100,0)</f>
        <v/>
      </c>
      <c r="E30" s="19">
        <f>IFERROR(E11*E4/100,0)</f>
        <v/>
      </c>
      <c r="F30" s="19">
        <f>IFERROR(F11*F4/100,0)</f>
        <v/>
      </c>
      <c r="G30" s="19">
        <f>IFERROR(G11*G4/100,0)</f>
        <v/>
      </c>
      <c r="H30" s="19">
        <f>IFERROR(H11*H4/100,0)</f>
        <v/>
      </c>
      <c r="I30" s="19">
        <f>IFERROR(I11*I4/100,0)</f>
        <v/>
      </c>
      <c r="J30" s="19">
        <f>IFERROR(J11*J4/100,0)</f>
        <v/>
      </c>
      <c r="K30" s="19">
        <f>IFERROR(K11*K4/100,0)</f>
        <v/>
      </c>
    </row>
  </sheetData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B3A5C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0" customWidth="1" min="4" max="4"/>
  </cols>
  <sheetData>
    <row r="1">
      <c r="A1" s="8" t="inlineStr">
        <is>
          <t>STAGE 1 — MECHANICAL PREPROCESSING</t>
        </is>
      </c>
    </row>
    <row r="3">
      <c r="A3" s="3" t="inlineStr">
        <is>
          <t>MECHANICAL SIZE REDUCTION</t>
        </is>
      </c>
      <c r="B3" s="3" t="n"/>
      <c r="C3" s="3" t="n"/>
      <c r="D3" s="3" t="n"/>
    </row>
    <row r="4">
      <c r="A4" s="4" t="inlineStr">
        <is>
          <t>Step 1: Shredding (EFB)</t>
        </is>
      </c>
      <c r="B4" s="10" t="inlineStr">
        <is>
          <t>50-100mm</t>
        </is>
      </c>
      <c r="C4" s="2" t="inlineStr">
        <is>
          <t>mm</t>
        </is>
      </c>
      <c r="D4" s="2" t="inlineStr">
        <is>
          <t>Primary size reduction</t>
        </is>
      </c>
    </row>
    <row r="5">
      <c r="A5" s="4" t="inlineStr">
        <is>
          <t>Step 2: Hammer Mill</t>
        </is>
      </c>
      <c r="B5" s="10" t="inlineStr">
        <is>
          <t>2mm</t>
        </is>
      </c>
      <c r="C5" s="2" t="inlineStr">
        <is>
          <t>mm</t>
        </is>
      </c>
      <c r="D5" s="2" t="inlineStr">
        <is>
          <t>Target particle size for BSF substrate</t>
        </is>
      </c>
    </row>
    <row r="6">
      <c r="A6" s="4" t="inlineStr">
        <is>
          <t>Target Particle Size</t>
        </is>
      </c>
      <c r="B6" s="10" t="n">
        <v>2</v>
      </c>
      <c r="C6" s="2" t="inlineStr">
        <is>
          <t>mm</t>
        </is>
      </c>
      <c r="D6" s="2" t="inlineStr">
        <is>
          <t>Optimal for microbial access and BSF feeding</t>
        </is>
      </c>
    </row>
    <row r="7">
      <c r="A7" s="4" t="inlineStr">
        <is>
          <t>Moisture Loss from Processing</t>
        </is>
      </c>
      <c r="B7" s="10" t="n">
        <v>3</v>
      </c>
      <c r="C7" s="2" t="inlineStr">
        <is>
          <t>%</t>
        </is>
      </c>
      <c r="D7" s="2" t="inlineStr">
        <is>
          <t>Mechanical compression moisture loss</t>
        </is>
      </c>
    </row>
    <row r="9">
      <c r="A9" s="3" t="inlineStr">
        <is>
          <t>MASS BALANCE — PREPROCESSING</t>
        </is>
      </c>
      <c r="B9" s="3" t="n"/>
      <c r="C9" s="3" t="n"/>
      <c r="D9" s="3" t="n"/>
    </row>
    <row r="10">
      <c r="A10" s="4" t="inlineStr">
        <is>
          <t>Substrate Input (t/month)</t>
        </is>
      </c>
      <c r="B10" s="13">
        <f>IFERROR(S0_Waste_Streams!B13,0)</f>
        <v/>
      </c>
    </row>
    <row r="11">
      <c r="A11" s="4" t="inlineStr">
        <is>
          <t>Moisture Loss (t/month)</t>
        </is>
      </c>
      <c r="B11" s="13">
        <f>IFERROR(B10*0.03,0)</f>
        <v/>
      </c>
    </row>
    <row r="12">
      <c r="A12" s="15" t="inlineStr">
        <is>
          <t>Substrate After Preprocessing (t/month)</t>
        </is>
      </c>
      <c r="B12" s="16">
        <f>IFERROR(B10-B11,0)</f>
        <v/>
      </c>
    </row>
    <row r="14">
      <c r="A14" s="3" t="inlineStr">
        <is>
          <t>PKSA SOAKING</t>
        </is>
      </c>
      <c r="B14" s="3" t="n"/>
      <c r="C14" s="3" t="n"/>
      <c r="D14" s="3" t="n"/>
    </row>
    <row r="15">
      <c r="A15" s="4" t="inlineStr">
        <is>
          <t>PKSA Dose (from INPUTS)</t>
        </is>
      </c>
      <c r="B15" s="6">
        <f>INPUTS!$B$17</f>
        <v/>
      </c>
      <c r="C15" s="2" t="inlineStr">
        <is>
          <t>kg/t</t>
        </is>
      </c>
    </row>
    <row r="16">
      <c r="A16" s="4" t="inlineStr">
        <is>
          <t>PKSA Required (t/month)</t>
        </is>
      </c>
      <c r="B16" s="12">
        <f>IFERROR(B12*B15/1000,0)</f>
        <v/>
      </c>
    </row>
    <row r="17">
      <c r="A17" s="4" t="inlineStr">
        <is>
          <t>PKSA Cost ($/month)</t>
        </is>
      </c>
      <c r="B17" s="6" t="n">
        <v>0</v>
      </c>
    </row>
    <row r="18">
      <c r="A18" s="4" t="inlineStr">
        <is>
          <t>Water for PKSA Soaking (litres/month)</t>
        </is>
      </c>
      <c r="B18" s="20">
        <f>IFERROR(B16*1000*5,0)</f>
        <v/>
      </c>
      <c r="D18" s="2" t="inlineStr">
        <is>
          <t>Ratio: 5L water per kg PKSA</t>
        </is>
      </c>
    </row>
    <row r="20">
      <c r="A20" s="3" t="inlineStr">
        <is>
          <t>MIXING PARAMETERS</t>
        </is>
      </c>
      <c r="B20" s="3" t="n"/>
      <c r="C20" s="3" t="n"/>
      <c r="D20" s="3" t="n"/>
    </row>
    <row r="21">
      <c r="A21" s="4" t="inlineStr">
        <is>
          <t>Mixing Duration (minutes)</t>
        </is>
      </c>
      <c r="B21" s="10" t="inlineStr">
        <is>
          <t>60-90</t>
        </is>
      </c>
      <c r="C21" s="2" t="inlineStr">
        <is>
          <t>min</t>
        </is>
      </c>
    </row>
    <row r="22">
      <c r="A22" s="4" t="inlineStr">
        <is>
          <t>Expected pH After PKSA Contact</t>
        </is>
      </c>
      <c r="B22" s="10" t="inlineStr">
        <is>
          <t>10-12</t>
        </is>
      </c>
      <c r="C22" s="2" t="inlineStr">
        <is>
          <t>pH</t>
        </is>
      </c>
    </row>
    <row r="23">
      <c r="A23" s="4" t="inlineStr">
        <is>
          <t>Mixing Method</t>
        </is>
      </c>
      <c r="B23" s="10" t="inlineStr">
        <is>
          <t>Mechanical paddle mixer</t>
        </is>
      </c>
      <c r="C23" s="2" t="inlineStr"/>
    </row>
    <row r="25">
      <c r="A25" s="3" t="inlineStr">
        <is>
          <t>ENERGY CONSUMPTION</t>
        </is>
      </c>
      <c r="B25" s="3" t="n"/>
      <c r="C25" s="3" t="n"/>
      <c r="D25" s="3" t="n"/>
    </row>
    <row r="26">
      <c r="A26" s="4" t="inlineStr">
        <is>
          <t>Shredder (kWh/t)</t>
        </is>
      </c>
      <c r="B26" s="21" t="n">
        <v>25</v>
      </c>
    </row>
    <row r="27">
      <c r="A27" s="4" t="inlineStr">
        <is>
          <t>Hammer Mill (kWh/t)</t>
        </is>
      </c>
      <c r="B27" s="21" t="n">
        <v>35</v>
      </c>
    </row>
    <row r="28">
      <c r="A28" s="4" t="inlineStr">
        <is>
          <t>Mixer (kWh/t)</t>
        </is>
      </c>
      <c r="B28" s="21" t="n">
        <v>8</v>
      </c>
    </row>
    <row r="29">
      <c r="A29" s="7" t="inlineStr">
        <is>
          <t>Total Energy (kWh/t substrate)</t>
        </is>
      </c>
      <c r="B29" s="6">
        <f>IFERROR(SUM(B26:B28),0)</f>
        <v/>
      </c>
    </row>
    <row r="30">
      <c r="A30" s="4" t="inlineStr">
        <is>
          <t>Total Energy Cost ($/month @ $0.08/kWh)</t>
        </is>
      </c>
      <c r="B30" s="22">
        <f>IFERROR(B29*B12*0.08,0)</f>
        <v/>
      </c>
    </row>
    <row r="32">
      <c r="A32" s="3" t="inlineStr">
        <is>
          <t>STAGE 1 COST SUMMARY</t>
        </is>
      </c>
      <c r="B32" s="3" t="n"/>
      <c r="C32" s="3" t="n"/>
      <c r="D32" s="3" t="n"/>
    </row>
    <row r="33">
      <c r="A33" s="4" t="inlineStr">
        <is>
          <t>Energy Cost ($/month)</t>
        </is>
      </c>
      <c r="B33" s="22">
        <f>B30</f>
        <v/>
      </c>
    </row>
    <row r="34">
      <c r="A34" s="4" t="inlineStr">
        <is>
          <t>PKSA Cost ($/month)</t>
        </is>
      </c>
      <c r="B34" s="21" t="n">
        <v>0</v>
      </c>
    </row>
    <row r="35">
      <c r="A35" s="7" t="inlineStr">
        <is>
          <t>Total Stage 1 Cost ($/month)</t>
        </is>
      </c>
      <c r="B35" s="22">
        <f>IFERROR(B33+B34,0)</f>
        <v/>
      </c>
    </row>
    <row r="36">
      <c r="A36" s="7" t="inlineStr">
        <is>
          <t>Cost per Tonne Substrate ($/t)</t>
        </is>
      </c>
      <c r="B36" s="23">
        <f>IFERROR(B35/B12,0)</f>
        <v/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B3A5C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30" customWidth="1" min="4" max="4"/>
  </cols>
  <sheetData>
    <row r="1">
      <c r="A1" s="8" t="inlineStr">
        <is>
          <t>STAGE 1 — POST-PREPROCESSING LAB PARAMETERS</t>
        </is>
      </c>
    </row>
    <row r="3">
      <c r="A3" s="9" t="inlineStr">
        <is>
          <t>Parameter</t>
        </is>
      </c>
      <c r="B3" s="9" t="inlineStr">
        <is>
          <t>Pre-Processing</t>
        </is>
      </c>
      <c r="C3" s="9" t="inlineStr">
        <is>
          <t>Post-Processing</t>
        </is>
      </c>
      <c r="D3" s="9" t="inlineStr">
        <is>
          <t>Notes</t>
        </is>
      </c>
    </row>
    <row r="4">
      <c r="A4" s="10" t="inlineStr">
        <is>
          <t>Particle Size (mm)</t>
        </is>
      </c>
      <c r="B4" s="10" t="inlineStr">
        <is>
          <t>Variable</t>
        </is>
      </c>
      <c r="C4" s="6" t="inlineStr">
        <is>
          <t>2</t>
        </is>
      </c>
      <c r="D4" s="2" t="inlineStr">
        <is>
          <t>Target: 2mm via hammer mill</t>
        </is>
      </c>
    </row>
    <row r="5">
      <c r="A5" s="10" t="inlineStr">
        <is>
          <t>pH</t>
        </is>
      </c>
      <c r="B5" s="10">
        <f>IFERROR(S0_Lab_Analysis!L6,0)</f>
        <v/>
      </c>
      <c r="C5" s="6" t="n">
        <v>11</v>
      </c>
      <c r="D5" s="2" t="inlineStr">
        <is>
          <t>Post PKSA contact: 10-12</t>
        </is>
      </c>
    </row>
    <row r="6">
      <c r="A6" s="10" t="inlineStr">
        <is>
          <t>Moisture%</t>
        </is>
      </c>
      <c r="B6" s="10">
        <f>IFERROR(S0_Lab_Analysis!L5,0)</f>
        <v/>
      </c>
      <c r="C6" s="6">
        <f>IFERROR(B6-3,0)</f>
        <v/>
      </c>
      <c r="D6" s="2" t="inlineStr">
        <is>
          <t>~3% loss from mechanical processing</t>
        </is>
      </c>
    </row>
    <row r="7">
      <c r="A7" s="10" t="inlineStr">
        <is>
          <t>DM%</t>
        </is>
      </c>
      <c r="B7" s="10">
        <f>IFERROR(S0_Lab_Analysis!L4,0)</f>
        <v/>
      </c>
      <c r="C7" s="6">
        <f>IFERROR(100-C6,0)</f>
        <v/>
      </c>
      <c r="D7" s="2" t="inlineStr">
        <is>
          <t>Inverse of moisture</t>
        </is>
      </c>
    </row>
    <row r="8">
      <c r="A8" s="10" t="inlineStr">
        <is>
          <t>Lignin%</t>
        </is>
      </c>
      <c r="B8" s="10">
        <f>IFERROR(S0_Lab_Analysis!L20,0)</f>
        <v/>
      </c>
      <c r="C8" s="6">
        <f>B8</f>
        <v/>
      </c>
      <c r="D8" s="2" t="inlineStr">
        <is>
          <t>Unchanged at Stage 1</t>
        </is>
      </c>
    </row>
    <row r="9">
      <c r="A9" s="10" t="inlineStr">
        <is>
          <t>Cellulose%</t>
        </is>
      </c>
      <c r="B9" s="10">
        <f>IFERROR(S0_Lab_Analysis!L21,0)</f>
        <v/>
      </c>
      <c r="C9" s="6">
        <f>B9</f>
        <v/>
      </c>
      <c r="D9" s="2" t="inlineStr">
        <is>
          <t>Unchanged at Stage 1</t>
        </is>
      </c>
    </row>
    <row r="10">
      <c r="A10" s="10" t="inlineStr">
        <is>
          <t>C:N ratio</t>
        </is>
      </c>
      <c r="B10" s="10">
        <f>IFERROR(S0_Lab_Analysis!L22,0)</f>
        <v/>
      </c>
      <c r="C10" s="6">
        <f>B10</f>
        <v/>
      </c>
      <c r="D10" s="2" t="inlineStr">
        <is>
          <t>Unchanged at Stage 1</t>
        </is>
      </c>
    </row>
    <row r="11">
      <c r="A11" s="10" t="inlineStr">
        <is>
          <t>N%</t>
        </is>
      </c>
      <c r="B11" s="10">
        <f>IFERROR(S0_Lab_Analysis!L7,0)</f>
        <v/>
      </c>
      <c r="C11" s="6">
        <f>B11</f>
        <v/>
      </c>
      <c r="D11" s="2" t="inlineStr">
        <is>
          <t>Unchanged at Stage 1</t>
        </is>
      </c>
    </row>
    <row r="12">
      <c r="A12" s="10" t="inlineStr">
        <is>
          <t>P%</t>
        </is>
      </c>
      <c r="B12" s="10">
        <f>IFERROR(S0_Lab_Analysis!L8,0)</f>
        <v/>
      </c>
      <c r="C12" s="6">
        <f>B12</f>
        <v/>
      </c>
      <c r="D12" s="2" t="inlineStr">
        <is>
          <t>May increase slightly from PKSA P contribution</t>
        </is>
      </c>
    </row>
    <row r="13">
      <c r="A13" s="10" t="inlineStr">
        <is>
          <t>K%</t>
        </is>
      </c>
      <c r="B13" s="10">
        <f>IFERROR(S0_Lab_Analysis!L9,0)</f>
        <v/>
      </c>
      <c r="C13" s="6">
        <f>B13</f>
        <v/>
      </c>
      <c r="D13" s="2" t="inlineStr">
        <is>
          <t>May increase from PKSA K contribution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B3A5C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8" t="inlineStr">
        <is>
          <t>STAGE 2 — CHEMICAL PRE-TREATMENT</t>
        </is>
      </c>
    </row>
    <row r="3">
      <c r="A3" s="3" t="inlineStr">
        <is>
          <t>CHEMICAL SELECTION (from INPUTS)</t>
        </is>
      </c>
      <c r="B3" s="3" t="n"/>
      <c r="C3" s="3" t="n"/>
      <c r="D3" s="3" t="n"/>
    </row>
    <row r="4">
      <c r="A4" s="4" t="inlineStr">
        <is>
          <t>Selected Chemical</t>
        </is>
      </c>
      <c r="B4" s="6">
        <f>INPUTS!$B$16</f>
        <v/>
      </c>
    </row>
    <row r="5">
      <c r="A5" s="4" t="inlineStr">
        <is>
          <t>Dose Rate (kg/t)</t>
        </is>
      </c>
      <c r="B5" s="6">
        <f>INPUTS!$B$17</f>
        <v/>
      </c>
    </row>
    <row r="6">
      <c r="A6" s="4" t="inlineStr">
        <is>
          <t>Cost ($/t substrate)</t>
        </is>
      </c>
      <c r="B6" s="23">
        <f>IFERROR(VLOOKUP(B4,S2_Chemical_Library!$A$3:$H$20,5,FALSE),0)</f>
        <v/>
      </c>
    </row>
    <row r="7">
      <c r="A7" s="4" t="inlineStr">
        <is>
          <t>Lignin Reduction (%)</t>
        </is>
      </c>
      <c r="B7" s="24">
        <f>IFERROR(VLOOKUP(B4,S2_Chemical_Library!$A$3:$H$20,7,FALSE),0)</f>
        <v/>
      </c>
    </row>
    <row r="8">
      <c r="A8" s="4" t="inlineStr">
        <is>
          <t>Chemical Alert Status</t>
        </is>
      </c>
      <c r="B8" s="21">
        <f>IF(B4="NaOH","WARNING: CAUSTIC - SEE ALERT","OK")</f>
        <v/>
      </c>
    </row>
    <row r="9">
      <c r="A9" s="25" t="inlineStr">
        <is>
          <t>WARNING ROW</t>
        </is>
      </c>
      <c r="B9" s="26">
        <f>IF(B4="NaOH","ALERT: NaOH selected. Caustic soda requires full PPE (gloves, goggles, face shield). Risk of substrate over-alkalisation above pH 13. Neutralise fully before BSF inoculation. PKSA is the safer zero-cost alternative.","")</f>
        <v/>
      </c>
      <c r="C9" s="27" t="n"/>
      <c r="D9" s="28" t="n"/>
    </row>
    <row r="11">
      <c r="A11" s="3" t="inlineStr">
        <is>
          <t>pH TRAJECTORY</t>
        </is>
      </c>
      <c r="B11" s="3" t="n"/>
      <c r="C11" s="3" t="n"/>
      <c r="D11" s="3" t="n"/>
    </row>
    <row r="12">
      <c r="A12" s="10" t="inlineStr">
        <is>
          <t>Substrate pH (pre-treatment)</t>
        </is>
      </c>
      <c r="B12" s="21">
        <f>IFERROR(S1_Lab_Analysis!C5,6.5)</f>
        <v/>
      </c>
      <c r="D12" s="2" t="inlineStr">
        <is>
          <t>From S1 Lab Analysis</t>
        </is>
      </c>
    </row>
    <row r="13">
      <c r="A13" s="10" t="inlineStr">
        <is>
          <t>pH After Chemical Contact (0hr)</t>
        </is>
      </c>
      <c r="B13" s="21" t="inlineStr">
        <is>
          <t>10-12</t>
        </is>
      </c>
      <c r="D13" s="2" t="inlineStr">
        <is>
          <t>Immediate alkalinity from PKSA</t>
        </is>
      </c>
    </row>
    <row r="14">
      <c r="A14" s="10" t="inlineStr">
        <is>
          <t>pH at 8-12hr (1st turning)</t>
        </is>
      </c>
      <c r="B14" s="21" t="inlineStr">
        <is>
          <t>9-11</t>
        </is>
      </c>
      <c r="D14" s="2" t="inlineStr">
        <is>
          <t>CO2 carbonation begins</t>
        </is>
      </c>
    </row>
    <row r="15">
      <c r="A15" s="10" t="inlineStr">
        <is>
          <t>pH at 16-20hr (2nd turning)</t>
        </is>
      </c>
      <c r="B15" s="21" t="inlineStr">
        <is>
          <t>8-9</t>
        </is>
      </c>
      <c r="D15" s="2" t="inlineStr">
        <is>
          <t>Further neutralisation</t>
        </is>
      </c>
    </row>
    <row r="16">
      <c r="A16" s="10" t="inlineStr">
        <is>
          <t>pH at 24hr (final)</t>
        </is>
      </c>
      <c r="B16" s="21" t="inlineStr">
        <is>
          <t>6.5-8.0</t>
        </is>
      </c>
      <c r="D16" s="2" t="inlineStr">
        <is>
          <t>Target: ready for biologicals</t>
        </is>
      </c>
    </row>
    <row r="18">
      <c r="A18" s="3" t="inlineStr">
        <is>
          <t>NEUTRALISATION TIMELINE (24hr — MANDATORY)</t>
        </is>
      </c>
      <c r="B18" s="3" t="n"/>
      <c r="C18" s="3" t="n"/>
      <c r="D18" s="3" t="n"/>
    </row>
    <row r="19">
      <c r="A19" s="10" t="inlineStr">
        <is>
          <t>T=0hr: Chemical applied + mixing</t>
        </is>
      </c>
      <c r="B19" s="10" t="inlineStr">
        <is>
          <t>60-90 min mixing</t>
        </is>
      </c>
      <c r="C19" s="29" t="inlineStr">
        <is>
          <t>HARD-CODED</t>
        </is>
      </c>
    </row>
    <row r="20">
      <c r="A20" s="10" t="inlineStr">
        <is>
          <t>T=8-12hr: FIRST TURNING</t>
        </is>
      </c>
      <c r="B20" s="10" t="inlineStr">
        <is>
          <t>Mandatory physical turning</t>
        </is>
      </c>
      <c r="C20" s="29" t="inlineStr">
        <is>
          <t>HARD-CODED</t>
        </is>
      </c>
    </row>
    <row r="21">
      <c r="A21" s="10" t="inlineStr">
        <is>
          <t>T=16-20hr: SECOND TURNING</t>
        </is>
      </c>
      <c r="B21" s="10" t="inlineStr">
        <is>
          <t>Mandatory physical turning</t>
        </is>
      </c>
      <c r="C21" s="29" t="inlineStr">
        <is>
          <t>HARD-CODED</t>
        </is>
      </c>
    </row>
    <row r="22">
      <c r="A22" s="10" t="inlineStr">
        <is>
          <t>T=24hr: Neutralisation complete</t>
        </is>
      </c>
      <c r="B22" s="10" t="inlineStr">
        <is>
          <t>Check pH 6.5-8.0</t>
        </is>
      </c>
      <c r="C22" s="29" t="inlineStr">
        <is>
          <t>HARD-CODED</t>
        </is>
      </c>
    </row>
    <row r="24">
      <c r="A24" s="3" t="inlineStr">
        <is>
          <t>SUBSTRATE PARAMETERS POST-CHEMICAL TREATMENT</t>
        </is>
      </c>
      <c r="B24" s="3" t="n"/>
      <c r="C24" s="3" t="n"/>
      <c r="D24" s="3" t="n"/>
    </row>
    <row r="25">
      <c r="A25" s="10" t="inlineStr">
        <is>
          <t>Lignin% (post-treatment)</t>
        </is>
      </c>
      <c r="B25" s="13">
        <f>IFERROR(S1_Lab_Analysis!C9*(1-B7),0)</f>
        <v/>
      </c>
    </row>
    <row r="26">
      <c r="A26" s="10" t="inlineStr">
        <is>
          <t>pH (post-neutralisation)</t>
        </is>
      </c>
      <c r="B26" s="13" t="inlineStr">
        <is>
          <t>6.5-8.0</t>
        </is>
      </c>
    </row>
    <row r="27">
      <c r="A27" s="10" t="inlineStr">
        <is>
          <t>Moisture%</t>
        </is>
      </c>
      <c r="B27" s="13">
        <f>IFERROR(S1_Lab_Analysis!C6,65)</f>
        <v/>
      </c>
    </row>
    <row r="28">
      <c r="A28" s="10" t="inlineStr">
        <is>
          <t>C:N ratio</t>
        </is>
      </c>
      <c r="B28" s="13">
        <f>IFERROR(S1_Lab_Analysis!C10,32)</f>
        <v/>
      </c>
    </row>
    <row r="30">
      <c r="A30" s="3" t="inlineStr">
        <is>
          <t>STAGE 2 COST CALCULATION</t>
        </is>
      </c>
      <c r="B30" s="3" t="n"/>
      <c r="C30" s="3" t="n"/>
      <c r="D30" s="3" t="n"/>
    </row>
    <row r="31">
      <c r="A31" s="4" t="inlineStr">
        <is>
          <t>Substrate Volume (t/month)</t>
        </is>
      </c>
      <c r="B31" s="13">
        <f>IFERROR(S1_Preprocessing!B12,0)</f>
        <v/>
      </c>
    </row>
    <row r="32">
      <c r="A32" s="4" t="inlineStr">
        <is>
          <t>Chemical Cost per Tonne ($/t)</t>
        </is>
      </c>
      <c r="B32" s="23">
        <f>B6</f>
        <v/>
      </c>
    </row>
    <row r="33">
      <c r="A33" s="7" t="inlineStr">
        <is>
          <t>Total Chemical Cost ($/month)</t>
        </is>
      </c>
      <c r="B33" s="30">
        <f>IFERROR(B31*B32,0)</f>
        <v/>
      </c>
    </row>
  </sheetData>
  <mergeCells count="2">
    <mergeCell ref="A1:D1"/>
    <mergeCell ref="B9:D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D6A6A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14" customWidth="1" min="8" max="8"/>
    <col width="50" customWidth="1" min="9" max="9"/>
  </cols>
  <sheetData>
    <row r="1">
      <c r="A1" s="8" t="inlineStr">
        <is>
          <t>STAGE 2 — CHEMICAL LIBRARY (FULL REFERENCE)</t>
        </is>
      </c>
    </row>
    <row r="3">
      <c r="A3" s="9" t="inlineStr">
        <is>
          <t>Chemical</t>
        </is>
      </c>
      <c r="B3" s="9" t="inlineStr">
        <is>
          <t>Function</t>
        </is>
      </c>
      <c r="C3" s="9" t="inlineStr">
        <is>
          <t>Dose Min (kg/t)</t>
        </is>
      </c>
      <c r="D3" s="9" t="inlineStr">
        <is>
          <t>Dose Max (kg/t)</t>
        </is>
      </c>
      <c r="E3" s="9" t="inlineStr">
        <is>
          <t>Cost ($/t substrate)</t>
        </is>
      </c>
      <c r="F3" s="9" t="inlineStr">
        <is>
          <t>pH Effect</t>
        </is>
      </c>
      <c r="G3" s="9" t="inlineStr">
        <is>
          <t>Lignin Reduction</t>
        </is>
      </c>
      <c r="H3" s="9" t="inlineStr">
        <is>
          <t>BSF Compatible</t>
        </is>
      </c>
      <c r="I3" s="9" t="inlineStr">
        <is>
          <t>Notes</t>
        </is>
      </c>
    </row>
    <row r="4">
      <c r="A4" s="10" t="inlineStr">
        <is>
          <t>PKSA</t>
        </is>
      </c>
      <c r="B4" s="10" t="inlineStr">
        <is>
          <t>Alkalinity / liming</t>
        </is>
      </c>
      <c r="C4" s="10" t="n">
        <v>6</v>
      </c>
      <c r="D4" s="10" t="n">
        <v>10</v>
      </c>
      <c r="E4" s="31" t="n">
        <v>0</v>
      </c>
      <c r="F4" s="10" t="inlineStr">
        <is>
          <t>10-12</t>
        </is>
      </c>
      <c r="G4" s="32" t="n">
        <v>0.325</v>
      </c>
      <c r="H4" s="10" t="inlineStr">
        <is>
          <t>Y</t>
        </is>
      </c>
      <c r="I4" s="10" t="inlineStr">
        <is>
          <t>Mill by-product. ZERO cost at mill gate (Guardrail 3).</t>
        </is>
      </c>
    </row>
    <row r="5">
      <c r="A5" s="10" t="inlineStr">
        <is>
          <t>CaCO3</t>
        </is>
      </c>
      <c r="B5" s="10" t="inlineStr">
        <is>
          <t>pH buffer</t>
        </is>
      </c>
      <c r="C5" s="10" t="n">
        <v>5</v>
      </c>
      <c r="D5" s="10" t="n">
        <v>15</v>
      </c>
      <c r="E5" s="31" t="n">
        <v>1.05</v>
      </c>
      <c r="F5" s="10" t="inlineStr">
        <is>
          <t>7.5-8.5</t>
        </is>
      </c>
      <c r="G5" s="32" t="n">
        <v>0.075</v>
      </c>
      <c r="H5" s="10" t="inlineStr">
        <is>
          <t>Y</t>
        </is>
      </c>
      <c r="I5" s="10" t="inlineStr">
        <is>
          <t>Mild buffer, food-grade available.</t>
        </is>
      </c>
    </row>
    <row r="6">
      <c r="A6" s="10" t="inlineStr">
        <is>
          <t>H2O2</t>
        </is>
      </c>
      <c r="B6" s="10" t="inlineStr">
        <is>
          <t>Oxidative delignification</t>
        </is>
      </c>
      <c r="C6" s="10" t="n">
        <v>2</v>
      </c>
      <c r="D6" s="10" t="n">
        <v>5</v>
      </c>
      <c r="E6" s="31" t="n">
        <v>3.5</v>
      </c>
      <c r="F6" s="10" t="inlineStr">
        <is>
          <t>neutral</t>
        </is>
      </c>
      <c r="G6" s="32" t="n">
        <v>0.175</v>
      </c>
      <c r="H6" s="10" t="inlineStr">
        <is>
          <t>Y</t>
        </is>
      </c>
      <c r="I6" s="10" t="inlineStr">
        <is>
          <t>Requires dosing control.</t>
        </is>
      </c>
    </row>
    <row r="7">
      <c r="A7" s="10" t="inlineStr">
        <is>
          <t>Urea</t>
        </is>
      </c>
      <c r="B7" s="10" t="inlineStr">
        <is>
          <t>N supplement / pH adjustment</t>
        </is>
      </c>
      <c r="C7" s="10" t="n">
        <v>3</v>
      </c>
      <c r="D7" s="10" t="n">
        <v>8</v>
      </c>
      <c r="E7" s="31" t="n">
        <v>0.9</v>
      </c>
      <c r="F7" s="10" t="inlineStr">
        <is>
          <t>+0.5-1.0</t>
        </is>
      </c>
      <c r="G7" s="32" t="n">
        <v>0</v>
      </c>
      <c r="H7" s="10" t="inlineStr">
        <is>
          <t>Y</t>
        </is>
      </c>
      <c r="I7" s="10" t="inlineStr">
        <is>
          <t>Raises pH slightly via ammonia.</t>
        </is>
      </c>
    </row>
    <row r="8">
      <c r="A8" s="10" t="inlineStr">
        <is>
          <t>Lime Ca(OH)2</t>
        </is>
      </c>
      <c r="B8" s="10" t="inlineStr">
        <is>
          <t>Alkalinity</t>
        </is>
      </c>
      <c r="C8" s="10" t="n">
        <v>5</v>
      </c>
      <c r="D8" s="10" t="n">
        <v>20</v>
      </c>
      <c r="E8" s="31" t="n">
        <v>0.8</v>
      </c>
      <c r="F8" s="10" t="inlineStr">
        <is>
          <t>11-13</t>
        </is>
      </c>
      <c r="G8" s="32" t="n">
        <v>0.25</v>
      </c>
      <c r="H8" s="10" t="inlineStr">
        <is>
          <t>Y</t>
        </is>
      </c>
      <c r="I8" s="10" t="inlineStr">
        <is>
          <t>Agricultural lime, widely available.</t>
        </is>
      </c>
    </row>
    <row r="9">
      <c r="A9" s="10" t="inlineStr">
        <is>
          <t>MgSO4</t>
        </is>
      </c>
      <c r="B9" s="10" t="inlineStr">
        <is>
          <t>Mg supplement</t>
        </is>
      </c>
      <c r="C9" s="10" t="n">
        <v>1</v>
      </c>
      <c r="D9" s="10" t="n">
        <v>3</v>
      </c>
      <c r="E9" s="31" t="n">
        <v>1.2</v>
      </c>
      <c r="F9" s="10" t="inlineStr">
        <is>
          <t>neutral</t>
        </is>
      </c>
      <c r="G9" s="32" t="n">
        <v>0</v>
      </c>
      <c r="H9" s="10" t="inlineStr">
        <is>
          <t>Y</t>
        </is>
      </c>
      <c r="I9" s="10" t="inlineStr">
        <is>
          <t>Epsom salt, foliar grade.</t>
        </is>
      </c>
    </row>
    <row r="10">
      <c r="A10" s="10" t="inlineStr">
        <is>
          <t>NPK 15-15-15</t>
        </is>
      </c>
      <c r="B10" s="10" t="inlineStr">
        <is>
          <t>Nutrient balance</t>
        </is>
      </c>
      <c r="C10" s="10" t="n">
        <v>2</v>
      </c>
      <c r="D10" s="10" t="n">
        <v>5</v>
      </c>
      <c r="E10" s="31" t="n">
        <v>4.5</v>
      </c>
      <c r="F10" s="10" t="inlineStr">
        <is>
          <t>slight drop</t>
        </is>
      </c>
      <c r="G10" s="32" t="n">
        <v>0</v>
      </c>
      <c r="H10" s="10" t="inlineStr">
        <is>
          <t>Y</t>
        </is>
      </c>
      <c r="I10" s="10" t="inlineStr">
        <is>
          <t>Compound fertiliser.</t>
        </is>
      </c>
    </row>
    <row r="11">
      <c r="A11" s="10" t="inlineStr">
        <is>
          <t>Molasses</t>
        </is>
      </c>
      <c r="B11" s="10" t="inlineStr">
        <is>
          <t>Carbon source / BSF attractant</t>
        </is>
      </c>
      <c r="C11" s="10" t="n">
        <v>5</v>
      </c>
      <c r="D11" s="10" t="n">
        <v>20</v>
      </c>
      <c r="E11" s="31" t="n">
        <v>6</v>
      </c>
      <c r="F11" s="10" t="inlineStr">
        <is>
          <t>drop</t>
        </is>
      </c>
      <c r="G11" s="32" t="n">
        <v>0</v>
      </c>
      <c r="H11" s="10" t="inlineStr">
        <is>
          <t>Y</t>
        </is>
      </c>
      <c r="I11" s="10" t="inlineStr">
        <is>
          <t>Sugarcane by-product.</t>
        </is>
      </c>
    </row>
    <row r="12">
      <c r="A12" s="10" t="inlineStr">
        <is>
          <t>PKSA+CaCO3</t>
        </is>
      </c>
      <c r="B12" s="10" t="inlineStr">
        <is>
          <t>Combined buffer</t>
        </is>
      </c>
      <c r="C12" s="10" t="n">
        <v>11</v>
      </c>
      <c r="D12" s="10" t="n">
        <v>11</v>
      </c>
      <c r="E12" s="31" t="n">
        <v>1.05</v>
      </c>
      <c r="F12" s="10" t="inlineStr">
        <is>
          <t>9-11</t>
        </is>
      </c>
      <c r="G12" s="32" t="n">
        <v>0.275</v>
      </c>
      <c r="H12" s="10" t="inlineStr">
        <is>
          <t>Y</t>
        </is>
      </c>
      <c r="I12" s="10" t="inlineStr">
        <is>
          <t>PKSA 6 + CaCO3 5 kg/t.</t>
        </is>
      </c>
    </row>
    <row r="13">
      <c r="A13" s="10" t="inlineStr">
        <is>
          <t>PKSA+H2O2+Urea</t>
        </is>
      </c>
      <c r="B13" s="10" t="inlineStr">
        <is>
          <t>Best overall treatment</t>
        </is>
      </c>
      <c r="C13" s="10" t="n">
        <v>16</v>
      </c>
      <c r="D13" s="10" t="n">
        <v>16</v>
      </c>
      <c r="E13" s="31" t="n">
        <v>6.4</v>
      </c>
      <c r="F13" s="10" t="inlineStr">
        <is>
          <t>10-12</t>
        </is>
      </c>
      <c r="G13" s="32" t="n">
        <v>0.375</v>
      </c>
      <c r="H13" s="10" t="inlineStr">
        <is>
          <t>Y</t>
        </is>
      </c>
      <c r="I13" s="10" t="inlineStr">
        <is>
          <t>PKSA 8 + H2O2 3 + Urea 5 kg/t.</t>
        </is>
      </c>
    </row>
    <row r="14">
      <c r="A14" s="33" t="inlineStr">
        <is>
          <t>NaOH</t>
        </is>
      </c>
      <c r="B14" s="33" t="inlineStr">
        <is>
          <t>Strong alkalinity</t>
        </is>
      </c>
      <c r="C14" s="33" t="n">
        <v>2</v>
      </c>
      <c r="D14" s="33" t="n">
        <v>10</v>
      </c>
      <c r="E14" s="34" t="n">
        <v>0.4</v>
      </c>
      <c r="F14" s="33" t="inlineStr">
        <is>
          <t>12-14</t>
        </is>
      </c>
      <c r="G14" s="35" t="n">
        <v>0.3</v>
      </c>
      <c r="H14" s="33" t="inlineStr">
        <is>
          <t>Y</t>
        </is>
      </c>
      <c r="I14" s="33" t="inlineStr">
        <is>
          <t>CAUSTIC. Full PPE required. See Guardrail 2.</t>
        </is>
      </c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1B3A5C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42" customWidth="1" min="4" max="4"/>
  </cols>
  <sheetData>
    <row r="1">
      <c r="A1" s="8" t="inlineStr">
        <is>
          <t>STAGE 3 — BIOLOGICAL PRE-TREATMENT</t>
        </is>
      </c>
    </row>
    <row r="3">
      <c r="A3" s="3" t="inlineStr">
        <is>
          <t>CONSORTIUM RECIPE (from INPUTS)</t>
        </is>
      </c>
      <c r="B3" s="3" t="n"/>
      <c r="C3" s="3" t="n"/>
      <c r="D3" s="3" t="n"/>
    </row>
    <row r="4">
      <c r="A4" s="10" t="inlineStr">
        <is>
          <t>Organism 1</t>
        </is>
      </c>
      <c r="B4" s="6">
        <f>INPUTS!$B$21</f>
        <v/>
      </c>
      <c r="C4" s="6">
        <f>IFERROR(VLOOKUP(B4,S3_Biological_Library!$A$3:$J$20,5,FALSE),"")</f>
        <v/>
      </c>
      <c r="D4" s="6">
        <f>IFERROR(VLOOKUP(B4,S3_Biological_Library!$A$3:$J$20,3,FALSE),"")</f>
        <v/>
      </c>
    </row>
    <row r="5">
      <c r="A5" s="10" t="inlineStr">
        <is>
          <t>Organism 2</t>
        </is>
      </c>
      <c r="B5" s="6">
        <f>INPUTS!$B$22</f>
        <v/>
      </c>
      <c r="C5" s="6">
        <f>IFERROR(VLOOKUP(B5,S3_Biological_Library!$A$3:$J$20,5,FALSE),"")</f>
        <v/>
      </c>
      <c r="D5" s="6">
        <f>IFERROR(VLOOKUP(B5,S3_Biological_Library!$A$3:$J$20,3,FALSE),"")</f>
        <v/>
      </c>
    </row>
    <row r="6">
      <c r="A6" s="10" t="inlineStr">
        <is>
          <t>Organism 3</t>
        </is>
      </c>
      <c r="B6" s="6">
        <f>INPUTS!$B$23</f>
        <v/>
      </c>
      <c r="C6" s="6">
        <f>IFERROR(VLOOKUP(B6,S3_Biological_Library!$A$3:$J$20,5,FALSE),"")</f>
        <v/>
      </c>
      <c r="D6" s="6">
        <f>IFERROR(VLOOKUP(B6,S3_Biological_Library!$A$3:$J$20,3,FALSE),"")</f>
        <v/>
      </c>
    </row>
    <row r="7">
      <c r="A7" s="10" t="inlineStr">
        <is>
          <t>Organism 4</t>
        </is>
      </c>
      <c r="B7" s="6">
        <f>INPUTS!$B$24</f>
        <v/>
      </c>
      <c r="C7" s="6">
        <f>IFERROR(VLOOKUP(B7,S3_Biological_Library!$A$3:$J$20,5,FALSE),"")</f>
        <v/>
      </c>
      <c r="D7" s="6">
        <f>IFERROR(VLOOKUP(B7,S3_Biological_Library!$A$3:$J$20,3,FALSE),"")</f>
        <v/>
      </c>
    </row>
    <row r="8">
      <c r="A8" s="10" t="inlineStr">
        <is>
          <t>Organism 5</t>
        </is>
      </c>
      <c r="B8" s="6">
        <f>INPUTS!$B$25</f>
        <v/>
      </c>
      <c r="C8" s="6">
        <f>IFERROR(VLOOKUP(B8,S3_Biological_Library!$A$3:$J$20,5,FALSE),"")</f>
        <v/>
      </c>
      <c r="D8" s="6">
        <f>IFERROR(VLOOKUP(B8,S3_Biological_Library!$A$3:$J$20,3,FALSE),"")</f>
        <v/>
      </c>
    </row>
    <row r="10">
      <c r="A10" s="3" t="inlineStr">
        <is>
          <t>CONSORTIUM WAVE SCHEDULE</t>
        </is>
      </c>
      <c r="B10" s="3" t="n"/>
      <c r="C10" s="3" t="n"/>
      <c r="D10" s="3" t="n"/>
    </row>
    <row r="11">
      <c r="A11" s="36" t="inlineStr">
        <is>
          <t>WAVE 1 — Apply at Day 0</t>
        </is>
      </c>
      <c r="B11" s="10" t="inlineStr">
        <is>
          <t>All Wave 1 organisms applied simultaneously</t>
        </is>
      </c>
      <c r="D11" s="2" t="inlineStr">
        <is>
          <t>Concurrent-safe: Lacto, Saccharo, B.subtilis, B.amylo, Trichoderma</t>
        </is>
      </c>
    </row>
    <row r="12">
      <c r="A12" s="36" t="inlineStr">
        <is>
          <t>WAVE 2 — Apply at Day 3</t>
        </is>
      </c>
      <c r="B12" s="10" t="inlineStr">
        <is>
          <t>After initial pH drop from Wave 1 fermentation</t>
        </is>
      </c>
      <c r="D12" s="2" t="inlineStr">
        <is>
          <t>Aspergillus niger, Pleurotus, Phanerochaete</t>
        </is>
      </c>
    </row>
    <row r="13">
      <c r="A13" s="36" t="inlineStr">
        <is>
          <t>WAIT — Minimum 5 days total bio-treatment</t>
        </is>
      </c>
      <c r="B13" s="10" t="inlineStr">
        <is>
          <t>MANDATORY biological safety rule</t>
        </is>
      </c>
      <c r="D13" s="2" t="inlineStr">
        <is>
          <t>BSF inoculation NOT before Day 5</t>
        </is>
      </c>
    </row>
    <row r="15">
      <c r="A15" s="3" t="inlineStr">
        <is>
          <t>5-DAY BIOLOGICAL TREATMENT RULE (GUARDRAIL 6)</t>
        </is>
      </c>
      <c r="B15" s="3" t="n"/>
      <c r="C15" s="3" t="n"/>
      <c r="D15" s="3" t="n"/>
    </row>
    <row r="16">
      <c r="A16" s="4" t="inlineStr">
        <is>
          <t>Bio Treatment Days (from INPUTS)</t>
        </is>
      </c>
      <c r="B16" s="6">
        <f>IFERROR(INPUTS!$B$26,5)</f>
        <v/>
      </c>
    </row>
    <row r="17">
      <c r="A17" s="7" t="inlineStr">
        <is>
          <t>Minimum Required Days</t>
        </is>
      </c>
      <c r="B17" s="37" t="n">
        <v>5</v>
      </c>
    </row>
    <row r="18">
      <c r="A18" s="38" t="inlineStr">
        <is>
          <t>BSF INOCULATION STATUS</t>
        </is>
      </c>
      <c r="B18" s="39">
        <f>IF(B16&gt;=5,"READY - BSF inoculation permitted","NOT READY - Minimum 5 days required")</f>
        <v/>
      </c>
      <c r="C18" s="27" t="n"/>
      <c r="D18" s="28" t="n"/>
    </row>
    <row r="20">
      <c r="A20" s="3" t="inlineStr">
        <is>
          <t>PREDICTED IMPROVEMENTS FROM BIOLOGICALS</t>
        </is>
      </c>
      <c r="B20" s="3" t="n"/>
      <c r="C20" s="3" t="n"/>
      <c r="D20" s="3" t="n"/>
    </row>
    <row r="21">
      <c r="A21" s="4" t="inlineStr">
        <is>
          <t>Further Lignin Reduction (%)</t>
        </is>
      </c>
      <c r="B21" s="21" t="inlineStr">
        <is>
          <t>10-15%</t>
        </is>
      </c>
      <c r="D21" s="2" t="inlineStr">
        <is>
          <t>Additional to Stage 2 chemical reduction</t>
        </is>
      </c>
    </row>
    <row r="22">
      <c r="A22" s="4" t="inlineStr">
        <is>
          <t>C:N Improvement</t>
        </is>
      </c>
      <c r="B22" s="21" t="inlineStr">
        <is>
          <t>Target 15-25</t>
        </is>
      </c>
      <c r="D22" s="2" t="inlineStr">
        <is>
          <t>Optimal range for BSF feeding</t>
        </is>
      </c>
    </row>
    <row r="23">
      <c r="A23" s="4" t="inlineStr">
        <is>
          <t>Protein Enrichment</t>
        </is>
      </c>
      <c r="B23" s="21" t="inlineStr">
        <is>
          <t>+5-8% from microbial biomass</t>
        </is>
      </c>
    </row>
    <row r="25">
      <c r="A25" s="3" t="inlineStr">
        <is>
          <t>BSF YIELD UPLIFT FROM CONSORTIUM</t>
        </is>
      </c>
      <c r="B25" s="3" t="n"/>
      <c r="C25" s="3" t="n"/>
      <c r="D25" s="3" t="n"/>
    </row>
    <row r="26">
      <c r="A26" s="4" t="inlineStr">
        <is>
          <t>Consortium Configuration</t>
        </is>
      </c>
      <c r="B26" s="6">
        <f>INPUTS!$B$20</f>
        <v/>
      </c>
    </row>
    <row r="27">
      <c r="A27" s="7" t="inlineStr">
        <is>
          <t>Uplift Factor</t>
        </is>
      </c>
      <c r="B27" s="12">
        <f>IF(B26="None",1.0,IF(B26="Wave 1 Only",1.15,IF(OR(B26="Wave 1 + Wave 2",B26="Best 5 (Provibio + EM4)"),1.15,1.15)))</f>
        <v/>
      </c>
    </row>
    <row r="28">
      <c r="A28" s="7" t="inlineStr">
        <is>
          <t>Effective BSF FW Yield Multiplier</t>
        </is>
      </c>
      <c r="B28" s="40">
        <f>B27</f>
        <v/>
      </c>
    </row>
    <row r="30">
      <c r="A30" s="3" t="inlineStr">
        <is>
          <t>STAGE 3 COST CALCULATION</t>
        </is>
      </c>
      <c r="B30" s="3" t="n"/>
      <c r="C30" s="3" t="n"/>
      <c r="D30" s="3" t="n"/>
    </row>
    <row r="31">
      <c r="A31" s="4" t="inlineStr">
        <is>
          <t>Total Biological Cost ($/t substrate)</t>
        </is>
      </c>
      <c r="B31" s="41" t="n">
        <v>5.4</v>
      </c>
    </row>
    <row r="32">
      <c r="A32" s="4" t="inlineStr">
        <is>
          <t>Substrate Volume (t/month)</t>
        </is>
      </c>
      <c r="B32" s="13">
        <f>IFERROR(S1_Preprocessing!B12,0)</f>
        <v/>
      </c>
    </row>
    <row r="33">
      <c r="A33" s="7" t="inlineStr">
        <is>
          <t>Total Bio Cost ($/month)</t>
        </is>
      </c>
      <c r="B33" s="30">
        <f>IFERROR(B31*B32,0)</f>
        <v/>
      </c>
    </row>
  </sheetData>
  <mergeCells count="2">
    <mergeCell ref="A1:D1"/>
    <mergeCell ref="B18:D18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D6A6A"/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20" customWidth="1" min="4" max="4"/>
    <col width="12" customWidth="1" min="5" max="5"/>
    <col width="14" customWidth="1" min="6" max="6"/>
    <col width="22" customWidth="1" min="7" max="7"/>
    <col width="16" customWidth="1" min="8" max="8"/>
    <col width="18" customWidth="1" min="9" max="9"/>
    <col width="14" customWidth="1" min="10" max="10"/>
  </cols>
  <sheetData>
    <row r="1">
      <c r="A1" s="8" t="inlineStr">
        <is>
          <t>STAGE 3 — BIOLOGICAL LIBRARY (FULL REFERENCE)</t>
        </is>
      </c>
    </row>
    <row r="3">
      <c r="A3" s="9" t="inlineStr">
        <is>
          <t>Organism</t>
        </is>
      </c>
      <c r="B3" s="9" t="inlineStr">
        <is>
          <t>Strain</t>
        </is>
      </c>
      <c r="C3" s="9" t="inlineStr">
        <is>
          <t>Function</t>
        </is>
      </c>
      <c r="D3" s="9" t="inlineStr">
        <is>
          <t>Application Rate</t>
        </is>
      </c>
      <c r="E3" s="9" t="inlineStr">
        <is>
          <t>Wave</t>
        </is>
      </c>
      <c r="F3" s="9" t="inlineStr">
        <is>
          <t>Consortium</t>
        </is>
      </c>
      <c r="G3" s="9" t="inlineStr">
        <is>
          <t>Target Substrate</t>
        </is>
      </c>
      <c r="H3" s="9" t="inlineStr">
        <is>
          <t>BSF Uplift %</t>
        </is>
      </c>
      <c r="I3" s="9" t="inlineStr">
        <is>
          <t>Cost ($/t)</t>
        </is>
      </c>
      <c r="J3" s="9" t="inlineStr">
        <is>
          <t>Source</t>
        </is>
      </c>
    </row>
    <row r="4">
      <c r="A4" s="10" t="inlineStr">
        <is>
          <t>Lactobacillus spp.</t>
        </is>
      </c>
      <c r="B4" s="10" t="inlineStr">
        <is>
          <t>EM4-LAB01</t>
        </is>
      </c>
      <c r="C4" s="10" t="inlineStr">
        <is>
          <t>Primary fermentation, pH reduction, pathogen suppression</t>
        </is>
      </c>
      <c r="D4" s="10" t="inlineStr">
        <is>
          <t>10 mL/kg substrate</t>
        </is>
      </c>
      <c r="E4" s="10" t="inlineStr">
        <is>
          <t>WAVE1</t>
        </is>
      </c>
      <c r="F4" s="10" t="inlineStr">
        <is>
          <t>Y</t>
        </is>
      </c>
      <c r="G4" s="10" t="inlineStr">
        <is>
          <t>Sugars, simple carbohydrates</t>
        </is>
      </c>
      <c r="H4" s="32" t="n">
        <v>3</v>
      </c>
      <c r="I4" s="31" t="n">
        <v>0.8</v>
      </c>
      <c r="J4" s="10" t="inlineStr">
        <is>
          <t>EM4</t>
        </is>
      </c>
    </row>
    <row r="5">
      <c r="A5" s="10" t="inlineStr">
        <is>
          <t>Saccharomyces cerevisiae</t>
        </is>
      </c>
      <c r="B5" s="10" t="inlineStr">
        <is>
          <t>EM4-SC01</t>
        </is>
      </c>
      <c r="C5" s="10" t="inlineStr">
        <is>
          <t>Yeast fermentation, ethanol production, nutrient release</t>
        </is>
      </c>
      <c r="D5" s="10" t="inlineStr">
        <is>
          <t>5 mL/kg substrate</t>
        </is>
      </c>
      <c r="E5" s="10" t="inlineStr">
        <is>
          <t>WAVE1</t>
        </is>
      </c>
      <c r="F5" s="10" t="inlineStr">
        <is>
          <t>Y</t>
        </is>
      </c>
      <c r="G5" s="10" t="inlineStr">
        <is>
          <t>Sugars, starches</t>
        </is>
      </c>
      <c r="H5" s="32" t="n">
        <v>2</v>
      </c>
      <c r="I5" s="31" t="n">
        <v>0.6</v>
      </c>
      <c r="J5" s="10" t="inlineStr">
        <is>
          <t>EM4</t>
        </is>
      </c>
    </row>
    <row r="6">
      <c r="A6" s="10" t="inlineStr">
        <is>
          <t>Bacillus subtilis</t>
        </is>
      </c>
      <c r="B6" s="10" t="inlineStr">
        <is>
          <t>PV-BS01</t>
        </is>
      </c>
      <c r="C6" s="10" t="inlineStr">
        <is>
          <t>Cellulase production, protein enrichment, pathogen suppression</t>
        </is>
      </c>
      <c r="D6" s="10" t="inlineStr">
        <is>
          <t>5 g/kg substrate</t>
        </is>
      </c>
      <c r="E6" s="10" t="inlineStr">
        <is>
          <t>WAVE1</t>
        </is>
      </c>
      <c r="F6" s="10" t="inlineStr">
        <is>
          <t>Y</t>
        </is>
      </c>
      <c r="G6" s="10" t="inlineStr">
        <is>
          <t>Cellulose, hemicellulose</t>
        </is>
      </c>
      <c r="H6" s="32" t="n">
        <v>4</v>
      </c>
      <c r="I6" s="31" t="n">
        <v>1.2</v>
      </c>
      <c r="J6" s="10" t="inlineStr">
        <is>
          <t>Provibio</t>
        </is>
      </c>
    </row>
    <row r="7">
      <c r="A7" s="10" t="inlineStr">
        <is>
          <t>Bacillus amyloliquefaciens</t>
        </is>
      </c>
      <c r="B7" s="10" t="inlineStr">
        <is>
          <t>PV-BA01</t>
        </is>
      </c>
      <c r="C7" s="10" t="inlineStr">
        <is>
          <t>Amylase, protease production, nutrient mineralisation</t>
        </is>
      </c>
      <c r="D7" s="10" t="inlineStr">
        <is>
          <t>5 g/kg substrate</t>
        </is>
      </c>
      <c r="E7" s="10" t="inlineStr">
        <is>
          <t>WAVE1</t>
        </is>
      </c>
      <c r="F7" s="10" t="inlineStr">
        <is>
          <t>Y</t>
        </is>
      </c>
      <c r="G7" s="10" t="inlineStr">
        <is>
          <t>Starch, protein complexes</t>
        </is>
      </c>
      <c r="H7" s="32" t="n">
        <v>3.5</v>
      </c>
      <c r="I7" s="31" t="n">
        <v>1.3</v>
      </c>
      <c r="J7" s="10" t="inlineStr">
        <is>
          <t>Provibio</t>
        </is>
      </c>
    </row>
    <row r="8">
      <c r="A8" s="10" t="inlineStr">
        <is>
          <t>Trichoderma harzianum</t>
        </is>
      </c>
      <c r="B8" s="10" t="inlineStr">
        <is>
          <t>PV-TH01</t>
        </is>
      </c>
      <c r="C8" s="10" t="inlineStr">
        <is>
          <t>Cellulase / ligninase, bio-control, substrate conditioning</t>
        </is>
      </c>
      <c r="D8" s="10" t="inlineStr">
        <is>
          <t>8 g/kg substrate</t>
        </is>
      </c>
      <c r="E8" s="10" t="inlineStr">
        <is>
          <t>WAVE1</t>
        </is>
      </c>
      <c r="F8" s="10" t="inlineStr">
        <is>
          <t>Y</t>
        </is>
      </c>
      <c r="G8" s="10" t="inlineStr">
        <is>
          <t>Cellulose, lignin</t>
        </is>
      </c>
      <c r="H8" s="32" t="n">
        <v>4.5</v>
      </c>
      <c r="I8" s="31" t="n">
        <v>1.5</v>
      </c>
      <c r="J8" s="10" t="inlineStr">
        <is>
          <t>Provibio</t>
        </is>
      </c>
    </row>
    <row r="9">
      <c r="A9" s="10" t="inlineStr">
        <is>
          <t>Aspergillus niger</t>
        </is>
      </c>
      <c r="B9" s="10" t="inlineStr">
        <is>
          <t>PV-AN01</t>
        </is>
      </c>
      <c r="C9" s="10" t="inlineStr">
        <is>
          <t>Phosphate solubilisation, citric acid production</t>
        </is>
      </c>
      <c r="D9" s="10" t="inlineStr">
        <is>
          <t>5 g/kg substrate</t>
        </is>
      </c>
      <c r="E9" s="10" t="inlineStr">
        <is>
          <t>WAVE2</t>
        </is>
      </c>
      <c r="F9" s="10" t="inlineStr">
        <is>
          <t>Y</t>
        </is>
      </c>
      <c r="G9" s="10" t="inlineStr">
        <is>
          <t>Phosphate minerals, cellulose</t>
        </is>
      </c>
      <c r="H9" s="32" t="n">
        <v>2.5</v>
      </c>
      <c r="I9" s="31" t="n">
        <v>1.1</v>
      </c>
      <c r="J9" s="10" t="inlineStr">
        <is>
          <t>Provibio</t>
        </is>
      </c>
    </row>
    <row r="10">
      <c r="A10" s="10" t="inlineStr">
        <is>
          <t>Pleurotus ostreatus</t>
        </is>
      </c>
      <c r="B10" s="10" t="inlineStr">
        <is>
          <t>PV-PO01</t>
        </is>
      </c>
      <c r="C10" s="10" t="inlineStr">
        <is>
          <t>White-rot lignin degradation, laccase production</t>
        </is>
      </c>
      <c r="D10" s="10" t="inlineStr">
        <is>
          <t>10 g/kg substrate</t>
        </is>
      </c>
      <c r="E10" s="10" t="inlineStr">
        <is>
          <t>WAVE2</t>
        </is>
      </c>
      <c r="F10" s="10" t="inlineStr">
        <is>
          <t>Y</t>
        </is>
      </c>
      <c r="G10" s="10" t="inlineStr">
        <is>
          <t>Lignin, aromatic compounds</t>
        </is>
      </c>
      <c r="H10" s="32" t="n">
        <v>3</v>
      </c>
      <c r="I10" s="31" t="n">
        <v>2</v>
      </c>
      <c r="J10" s="10" t="inlineStr">
        <is>
          <t>Provibio</t>
        </is>
      </c>
    </row>
    <row r="11">
      <c r="A11" s="10" t="inlineStr">
        <is>
          <t>Phanerochaete chrysosporium</t>
        </is>
      </c>
      <c r="B11" s="10" t="inlineStr">
        <is>
          <t>PV-PC01</t>
        </is>
      </c>
      <c r="C11" s="10" t="inlineStr">
        <is>
          <t>White-rot, high lignin peroxidase activity</t>
        </is>
      </c>
      <c r="D11" s="10" t="inlineStr">
        <is>
          <t>8 g/kg substrate</t>
        </is>
      </c>
      <c r="E11" s="10" t="inlineStr">
        <is>
          <t>WAVE2</t>
        </is>
      </c>
      <c r="F11" s="10" t="inlineStr">
        <is>
          <t>Y</t>
        </is>
      </c>
      <c r="G11" s="10" t="inlineStr">
        <is>
          <t>Recalcitrant lignin</t>
        </is>
      </c>
      <c r="H11" s="32" t="n">
        <v>3.5</v>
      </c>
      <c r="I11" s="31" t="n">
        <v>2.5</v>
      </c>
      <c r="J11" s="10" t="inlineStr">
        <is>
          <t>Provibio</t>
        </is>
      </c>
    </row>
    <row r="12">
      <c r="A12" s="33" t="inlineStr">
        <is>
          <t>Bacillus thuringiensis</t>
        </is>
      </c>
      <c r="B12" s="33" t="inlineStr">
        <is>
          <t>PV-BT01</t>
        </is>
      </c>
      <c r="C12" s="33" t="inlineStr">
        <is>
          <t>Insecticidal protein (Cry toxins), pest bio-control</t>
        </is>
      </c>
      <c r="D12" s="33" t="inlineStr">
        <is>
          <t>5 g/kg substrate</t>
        </is>
      </c>
      <c r="E12" s="33" t="inlineStr">
        <is>
          <t>CAUTION</t>
        </is>
      </c>
      <c r="F12" s="33" t="inlineStr">
        <is>
          <t>CAUTION</t>
        </is>
      </c>
      <c r="G12" s="33" t="inlineStr">
        <is>
          <t>Lepidoptera, some Diptera larvae</t>
        </is>
      </c>
      <c r="H12" s="35" t="n">
        <v>0</v>
      </c>
      <c r="I12" s="34" t="n">
        <v>1.8</v>
      </c>
      <c r="J12" s="33" t="inlineStr">
        <is>
          <t>Provibio</t>
        </is>
      </c>
    </row>
    <row r="13">
      <c r="A13" s="33" t="inlineStr">
        <is>
          <t>Beauveria bassiana</t>
        </is>
      </c>
      <c r="B13" s="33" t="inlineStr">
        <is>
          <t>PV-BB01</t>
        </is>
      </c>
      <c r="C13" s="33" t="inlineStr">
        <is>
          <t>Entomopathogenic fungus, pest bio-control</t>
        </is>
      </c>
      <c r="D13" s="33" t="inlineStr">
        <is>
          <t>5 g/kg substrate</t>
        </is>
      </c>
      <c r="E13" s="33" t="inlineStr">
        <is>
          <t>CAUTION</t>
        </is>
      </c>
      <c r="F13" s="33" t="inlineStr">
        <is>
          <t>CAUTION</t>
        </is>
      </c>
      <c r="G13" s="33" t="inlineStr">
        <is>
          <t>Broad-spectrum insect pathogen</t>
        </is>
      </c>
      <c r="H13" s="35" t="n">
        <v>0</v>
      </c>
      <c r="I13" s="34" t="n">
        <v>2.2</v>
      </c>
      <c r="J13" s="33" t="inlineStr">
        <is>
          <t>Provibio</t>
        </is>
      </c>
    </row>
    <row r="14">
      <c r="A14" s="10" t="inlineStr">
        <is>
          <t>Rhodopseudomonas palustris</t>
        </is>
      </c>
      <c r="B14" s="10" t="inlineStr">
        <is>
          <t>EM4-RP01</t>
        </is>
      </c>
      <c r="C14" s="10" t="inlineStr">
        <is>
          <t>Photosynthetic N fixation, organic acid metabolism</t>
        </is>
      </c>
      <c r="D14" s="10" t="inlineStr">
        <is>
          <t>10 mL/kg substrate</t>
        </is>
      </c>
      <c r="E14" s="10" t="inlineStr">
        <is>
          <t>WAVE1</t>
        </is>
      </c>
      <c r="F14" s="10" t="inlineStr">
        <is>
          <t>Y</t>
        </is>
      </c>
      <c r="G14" s="10" t="inlineStr">
        <is>
          <t>Organic acids, N-fixation</t>
        </is>
      </c>
      <c r="H14" s="32" t="n">
        <v>2</v>
      </c>
      <c r="I14" s="31" t="n">
        <v>0.9</v>
      </c>
      <c r="J14" s="10" t="inlineStr">
        <is>
          <t>EM4</t>
        </is>
      </c>
    </row>
    <row r="15">
      <c r="A15" s="10" t="inlineStr">
        <is>
          <t>Actinomycetes spp.</t>
        </is>
      </c>
      <c r="B15" s="10" t="inlineStr">
        <is>
          <t>EM4-AC01</t>
        </is>
      </c>
      <c r="C15" s="10" t="inlineStr">
        <is>
          <t>Chitin degradation, antibiotic production, humus formation</t>
        </is>
      </c>
      <c r="D15" s="10" t="inlineStr">
        <is>
          <t>5 mL/kg substrate</t>
        </is>
      </c>
      <c r="E15" s="10" t="inlineStr">
        <is>
          <t>WAVE1</t>
        </is>
      </c>
      <c r="F15" s="10" t="inlineStr">
        <is>
          <t>Y</t>
        </is>
      </c>
      <c r="G15" s="10" t="inlineStr">
        <is>
          <t>Chitin, complex organics</t>
        </is>
      </c>
      <c r="H15" s="32" t="n">
        <v>1.5</v>
      </c>
      <c r="I15" s="31" t="n">
        <v>0.7</v>
      </c>
      <c r="J15" s="10" t="inlineStr">
        <is>
          <t>EM4</t>
        </is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1B3A5C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42" customWidth="1" min="4" max="4"/>
  </cols>
  <sheetData>
    <row r="1">
      <c r="A1" s="8" t="inlineStr">
        <is>
          <t>STAGE 4 — BSF REARING &amp; GROW-OUT</t>
        </is>
      </c>
    </row>
    <row r="3">
      <c r="A3" s="3" t="inlineStr">
        <is>
          <t>INOCULATION PARAMETERS</t>
        </is>
      </c>
      <c r="B3" s="3" t="n"/>
      <c r="C3" s="3" t="n"/>
      <c r="D3" s="3" t="n"/>
    </row>
    <row r="4">
      <c r="A4" s="10" t="inlineStr">
        <is>
          <t>Inoculation Density (neonates/m2)</t>
        </is>
      </c>
      <c r="B4" s="20">
        <f>INPUTS!$B$28</f>
        <v/>
      </c>
      <c r="C4" s="2" t="inlineStr">
        <is>
          <t>neonates/m2</t>
        </is>
      </c>
    </row>
    <row r="5">
      <c r="A5" s="10" t="inlineStr">
        <is>
          <t>Rearing Area (m2)</t>
        </is>
      </c>
      <c r="B5" s="20">
        <f>INPUTS!$B$29</f>
        <v/>
      </c>
      <c r="C5" s="2" t="inlineStr">
        <is>
          <t>m2</t>
        </is>
      </c>
    </row>
    <row r="6">
      <c r="A6" s="10" t="inlineStr">
        <is>
          <t>Total Neonates Required</t>
        </is>
      </c>
      <c r="B6" s="20">
        <f>IFERROR(B4*B5,0)</f>
        <v/>
      </c>
      <c r="C6" s="2" t="inlineStr">
        <is>
          <t>neonates</t>
        </is>
      </c>
    </row>
    <row r="7">
      <c r="A7" s="10" t="inlineStr">
        <is>
          <t>Neonate Cost ($/1000)</t>
        </is>
      </c>
      <c r="B7" s="23">
        <f>INPUTS!$B$31</f>
        <v/>
      </c>
      <c r="C7" s="2" t="inlineStr">
        <is>
          <t>$</t>
        </is>
      </c>
    </row>
    <row r="8">
      <c r="A8" s="10" t="inlineStr">
        <is>
          <t>Total Neonate Cost ($/batch)</t>
        </is>
      </c>
      <c r="B8" s="23">
        <f>IFERROR(B6*B7/1000,0)</f>
        <v/>
      </c>
      <c r="C8" s="2" t="inlineStr">
        <is>
          <t>$</t>
        </is>
      </c>
    </row>
    <row r="10">
      <c r="A10" s="3" t="inlineStr">
        <is>
          <t>ENVIRONMENTAL PARAMETERS (from BSF research)</t>
        </is>
      </c>
      <c r="B10" s="3" t="n"/>
      <c r="C10" s="3" t="n"/>
      <c r="D10" s="3" t="n"/>
    </row>
    <row r="11">
      <c r="A11" s="10" t="inlineStr">
        <is>
          <t>Temperature Optimal</t>
        </is>
      </c>
      <c r="B11" s="10" t="inlineStr">
        <is>
          <t>27-30</t>
        </is>
      </c>
      <c r="C11" s="2" t="inlineStr">
        <is>
          <t>C</t>
        </is>
      </c>
      <c r="D11" s="2" t="inlineStr">
        <is>
          <t>Stop below 20C, above 40C</t>
        </is>
      </c>
    </row>
    <row r="12">
      <c r="A12" s="10" t="inlineStr">
        <is>
          <t>Relative Humidity</t>
        </is>
      </c>
      <c r="B12" s="10" t="inlineStr">
        <is>
          <t>60-70</t>
        </is>
      </c>
      <c r="C12" s="2" t="inlineStr">
        <is>
          <t>%RH</t>
        </is>
      </c>
      <c r="D12" s="2" t="inlineStr">
        <is>
          <t>Larval rearing tray humidity</t>
        </is>
      </c>
    </row>
    <row r="13">
      <c r="A13" s="10" t="inlineStr">
        <is>
          <t>Substrate pH</t>
        </is>
      </c>
      <c r="B13" s="10" t="inlineStr">
        <is>
          <t>6.5-7.0</t>
        </is>
      </c>
      <c r="C13" s="2" t="inlineStr">
        <is>
          <t>pH</t>
        </is>
      </c>
      <c r="D13" s="2" t="inlineStr">
        <is>
          <t>Range: 6.0-7.5</t>
        </is>
      </c>
    </row>
    <row r="14">
      <c r="A14" s="10" t="inlineStr">
        <is>
          <t>Light Regime</t>
        </is>
      </c>
      <c r="B14" s="10" t="inlineStr">
        <is>
          <t>No direct sunlight. Exclude UV. 12hr dark cycle.</t>
        </is>
      </c>
      <c r="C14" s="2" t="inlineStr"/>
      <c r="D14" s="2" t="inlineStr"/>
    </row>
    <row r="15">
      <c r="A15" s="10" t="inlineStr">
        <is>
          <t>Substrate C:N Optimal</t>
        </is>
      </c>
      <c r="B15" s="10" t="inlineStr">
        <is>
          <t>15-25</t>
        </is>
      </c>
      <c r="C15" s="2" t="inlineStr"/>
      <c r="D15" s="2" t="inlineStr">
        <is>
          <t>Post-treatment target</t>
        </is>
      </c>
    </row>
    <row r="16">
      <c r="A16" s="10" t="inlineStr">
        <is>
          <t>Substrate Moisture</t>
        </is>
      </c>
      <c r="B16" s="10" t="inlineStr">
        <is>
          <t>60-70</t>
        </is>
      </c>
      <c r="C16" s="2" t="inlineStr">
        <is>
          <t>%</t>
        </is>
      </c>
      <c r="D16" s="2" t="inlineStr">
        <is>
          <t>Active feeding moisture</t>
        </is>
      </c>
    </row>
    <row r="18">
      <c r="A18" s="3" t="inlineStr">
        <is>
          <t>BSF YIELD CALCULATIONS</t>
        </is>
      </c>
      <c r="B18" s="3" t="n"/>
      <c r="C18" s="3" t="n"/>
      <c r="D18" s="3" t="n"/>
    </row>
    <row r="19">
      <c r="A19" s="4" t="inlineStr">
        <is>
          <t>Grow-out Days (from INPUTS)</t>
        </is>
      </c>
      <c r="B19" s="6">
        <f>INPUTS!$B$30</f>
        <v/>
      </c>
    </row>
    <row r="20">
      <c r="A20" s="4" t="inlineStr">
        <is>
          <t>Day 6 Baseline Yield (kg FW / t substrate)</t>
        </is>
      </c>
      <c r="B20" s="21" t="n">
        <v>70</v>
      </c>
    </row>
    <row r="21">
      <c r="A21" s="4" t="inlineStr">
        <is>
          <t>Day 18 Maximum Yield (kg FW / t substrate)</t>
        </is>
      </c>
      <c r="B21" s="21" t="n">
        <v>140</v>
      </c>
    </row>
    <row r="22">
      <c r="A22" s="7" t="inlineStr">
        <is>
          <t>BSF FW Yield (kg/t substrate) — BASELINE</t>
        </is>
      </c>
      <c r="B22" s="16">
        <f>IFERROR(B20+(B19-6)/12*(B21-B20),0)</f>
        <v/>
      </c>
    </row>
    <row r="23">
      <c r="A23" s="4" t="inlineStr">
        <is>
          <t>Consortium Uplift Factor</t>
        </is>
      </c>
      <c r="B23" s="12">
        <f>IFERROR(S3_Biological_Treatment!B28,1.0)</f>
        <v/>
      </c>
    </row>
    <row r="24">
      <c r="A24" s="38" t="inlineStr">
        <is>
          <t>BSF FW Yield (kg/t substrate) — WITH UPLIFT</t>
        </is>
      </c>
      <c r="B24" s="42">
        <f>IFERROR(B22*B23,0)</f>
        <v/>
      </c>
    </row>
    <row r="26">
      <c r="A26" s="3" t="inlineStr">
        <is>
          <t>MONTHLY PRODUCTION</t>
        </is>
      </c>
      <c r="B26" s="3" t="n"/>
      <c r="C26" s="3" t="n"/>
      <c r="D26" s="3" t="n"/>
    </row>
    <row r="27">
      <c r="A27" s="4" t="inlineStr">
        <is>
          <t>Substrate Processed (t/month)</t>
        </is>
      </c>
      <c r="B27" s="13">
        <f>IFERROR(S1_Preprocessing!B12,0)</f>
        <v/>
      </c>
    </row>
    <row r="28">
      <c r="A28" s="7" t="inlineStr">
        <is>
          <t>BSF Fresh Weight (t/month)</t>
        </is>
      </c>
      <c r="B28" s="16">
        <f>IFERROR(B27*B24/1000,0)</f>
        <v/>
      </c>
    </row>
    <row r="29">
      <c r="A29" s="4" t="inlineStr">
        <is>
          <t>BSF Dry Matter (t/month) @ 35% DM</t>
        </is>
      </c>
      <c r="B29" s="12">
        <f>IFERROR(B28*0.35,0)</f>
        <v/>
      </c>
    </row>
    <row r="30">
      <c r="A30" s="4" t="inlineStr">
        <is>
          <t>Crude Fat in DM (t/month) @ 23%</t>
        </is>
      </c>
      <c r="B30" s="12">
        <f>IFERROR(B29*0.23,0)</f>
        <v/>
      </c>
    </row>
    <row r="31">
      <c r="A31" s="4" t="inlineStr">
        <is>
          <t>Extractable Oil (t/month) @ 85% press efficiency</t>
        </is>
      </c>
      <c r="B31" s="12">
        <f>IFERROR(B30*0.85,0)</f>
        <v/>
      </c>
    </row>
    <row r="32">
      <c r="A32" s="4" t="inlineStr">
        <is>
          <t>Defatted Meal (t/month)</t>
        </is>
      </c>
      <c r="B32" s="12">
        <f>IFERROR(B29-B30,0)</f>
        <v/>
      </c>
    </row>
    <row r="33">
      <c r="A33" s="4" t="inlineStr">
        <is>
          <t>Chitin in DM (t/month) @ 9.3%</t>
        </is>
      </c>
      <c r="B33" s="19">
        <f>IFERROR(B29*0.09300000000000001,0)</f>
        <v/>
      </c>
    </row>
    <row r="34">
      <c r="A34" s="4" t="inlineStr">
        <is>
          <t>Frass/Residue Mass (t/month)</t>
        </is>
      </c>
      <c r="B34" s="13">
        <f>IFERROR(B27*(1-B24*1.15/1000),0)</f>
        <v/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1B3A5C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35" customWidth="1" min="4" max="4"/>
  </cols>
  <sheetData>
    <row r="1">
      <c r="A1" s="8" t="inlineStr">
        <is>
          <t>STAGE 4 — BSF PRE-PUPAE COMPOSITION</t>
        </is>
      </c>
    </row>
    <row r="3">
      <c r="A3" s="3" t="inlineStr">
        <is>
          <t>FRESH WEIGHT (FW) BASIS — from CFI Lab Analysis</t>
        </is>
      </c>
      <c r="B3" s="3" t="n"/>
      <c r="C3" s="3" t="n"/>
      <c r="D3" s="3" t="n"/>
    </row>
    <row r="4">
      <c r="A4" s="9" t="inlineStr">
        <is>
          <t>Parameter</t>
        </is>
      </c>
      <c r="B4" s="9" t="inlineStr">
        <is>
          <t>Value</t>
        </is>
      </c>
      <c r="C4" s="9" t="inlineStr">
        <is>
          <t>Unit</t>
        </is>
      </c>
      <c r="D4" s="9" t="inlineStr">
        <is>
          <t>Source</t>
        </is>
      </c>
    </row>
    <row r="5">
      <c r="A5" s="43" t="inlineStr">
        <is>
          <t>Moisture</t>
        </is>
      </c>
      <c r="B5" s="44" t="n">
        <v>65</v>
      </c>
      <c r="C5" s="17" t="inlineStr">
        <is>
          <t>%</t>
        </is>
      </c>
      <c r="D5" s="17" t="inlineStr">
        <is>
          <t>CFI Lab Analysis</t>
        </is>
      </c>
    </row>
    <row r="6">
      <c r="A6" s="43" t="inlineStr">
        <is>
          <t>Dry Matter</t>
        </is>
      </c>
      <c r="B6" s="44" t="n">
        <v>35</v>
      </c>
      <c r="C6" s="17" t="inlineStr">
        <is>
          <t>%</t>
        </is>
      </c>
      <c r="D6" s="17" t="inlineStr">
        <is>
          <t>CFI Lab Analysis</t>
        </is>
      </c>
    </row>
    <row r="7">
      <c r="A7" s="43" t="inlineStr">
        <is>
          <t>Crude Protein (FW)</t>
        </is>
      </c>
      <c r="B7" s="44" t="n">
        <v>36</v>
      </c>
      <c r="C7" s="17" t="inlineStr">
        <is>
          <t>% FW</t>
        </is>
      </c>
      <c r="D7" s="17" t="inlineStr">
        <is>
          <t>CFI Lab Analysis</t>
        </is>
      </c>
    </row>
    <row r="8">
      <c r="A8" s="43" t="inlineStr">
        <is>
          <t>Fat / Crude Lipid (FW)</t>
        </is>
      </c>
      <c r="B8" s="44" t="n">
        <v>8</v>
      </c>
      <c r="C8" s="17" t="inlineStr">
        <is>
          <t>% FW</t>
        </is>
      </c>
      <c r="D8" s="17" t="inlineStr">
        <is>
          <t>CFI Lab Analysis</t>
        </is>
      </c>
    </row>
    <row r="9">
      <c r="A9" s="43" t="inlineStr">
        <is>
          <t>Chitin (FW)</t>
        </is>
      </c>
      <c r="B9" s="44" t="n">
        <v>3.3</v>
      </c>
      <c r="C9" s="17" t="inlineStr">
        <is>
          <t>% FW</t>
        </is>
      </c>
      <c r="D9" s="17" t="inlineStr">
        <is>
          <t>CFI Lab Analysis</t>
        </is>
      </c>
    </row>
    <row r="10">
      <c r="A10" s="43" t="inlineStr">
        <is>
          <t>Ash (FW)</t>
        </is>
      </c>
      <c r="B10" s="44" t="n">
        <v>3.5</v>
      </c>
      <c r="C10" s="17" t="inlineStr">
        <is>
          <t>% FW</t>
        </is>
      </c>
      <c r="D10" s="17" t="inlineStr">
        <is>
          <t>CFI Lab Analysis</t>
        </is>
      </c>
    </row>
    <row r="12">
      <c r="A12" s="3" t="inlineStr">
        <is>
          <t>DEFATTED MEAL COMPOSITION (DM BASIS)</t>
        </is>
      </c>
      <c r="B12" s="3" t="n"/>
      <c r="C12" s="3" t="n"/>
      <c r="D12" s="3" t="n"/>
    </row>
    <row r="13">
      <c r="A13" s="43" t="inlineStr">
        <is>
          <t>Crude Protein (defatted)</t>
        </is>
      </c>
      <c r="B13" s="44" t="n">
        <v>51</v>
      </c>
      <c r="C13" s="17" t="inlineStr">
        <is>
          <t>% DM</t>
        </is>
      </c>
      <c r="D13" s="17" t="inlineStr">
        <is>
          <t>CFI Lab Analysis</t>
        </is>
      </c>
    </row>
    <row r="14">
      <c r="A14" s="43" t="inlineStr">
        <is>
          <t>Chitin</t>
        </is>
      </c>
      <c r="B14" s="44" t="n">
        <v>9.300000000000001</v>
      </c>
      <c r="C14" s="17" t="inlineStr">
        <is>
          <t>% DM</t>
        </is>
      </c>
      <c r="D14" s="17" t="inlineStr">
        <is>
          <t>CFI Lab Analysis</t>
        </is>
      </c>
    </row>
    <row r="15">
      <c r="A15" s="43" t="inlineStr">
        <is>
          <t>Ash</t>
        </is>
      </c>
      <c r="B15" s="44" t="n">
        <v>10</v>
      </c>
      <c r="C15" s="17" t="inlineStr">
        <is>
          <t>% DM</t>
        </is>
      </c>
      <c r="D15" s="17" t="inlineStr">
        <is>
          <t>CFI Lab Analysis</t>
        </is>
      </c>
    </row>
    <row r="17">
      <c r="A17" s="3" t="inlineStr">
        <is>
          <t>AMINO ACID PROFILE (reference)</t>
        </is>
      </c>
      <c r="B17" s="3" t="n"/>
      <c r="C17" s="3" t="n"/>
      <c r="D17" s="3" t="n"/>
    </row>
    <row r="18">
      <c r="A18" s="10" t="inlineStr">
        <is>
          <t>Methionine</t>
        </is>
      </c>
      <c r="B18" s="45" t="n">
        <v>2.1</v>
      </c>
      <c r="C18" s="2" t="inlineStr">
        <is>
          <t>% CP</t>
        </is>
      </c>
    </row>
    <row r="19">
      <c r="A19" s="10" t="inlineStr">
        <is>
          <t>Lysine</t>
        </is>
      </c>
      <c r="B19" s="45" t="n">
        <v>6.6</v>
      </c>
      <c r="C19" s="2" t="inlineStr">
        <is>
          <t>% CP</t>
        </is>
      </c>
    </row>
    <row r="20">
      <c r="A20" s="10" t="inlineStr">
        <is>
          <t>Threonine</t>
        </is>
      </c>
      <c r="B20" s="45" t="n">
        <v>3.7</v>
      </c>
      <c r="C20" s="2" t="inlineStr">
        <is>
          <t>% CP</t>
        </is>
      </c>
    </row>
    <row r="21">
      <c r="A21" s="10" t="inlineStr">
        <is>
          <t>Leucine</t>
        </is>
      </c>
      <c r="B21" s="45" t="n">
        <v>7.2</v>
      </c>
      <c r="C21" s="2" t="inlineStr">
        <is>
          <t>% CP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B3A5C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  <col width="40" customWidth="1" min="4" max="4"/>
  </cols>
  <sheetData>
    <row r="1">
      <c r="A1" s="8" t="inlineStr">
        <is>
          <t>STAGE 5A — FRASS / COMPOST PATHWAY</t>
        </is>
      </c>
    </row>
    <row r="3">
      <c r="A3" s="3" t="inlineStr">
        <is>
          <t>FRASS MASS BALANCE</t>
        </is>
      </c>
      <c r="B3" s="3" t="n"/>
      <c r="C3" s="3" t="n"/>
      <c r="D3" s="3" t="n"/>
    </row>
    <row r="4">
      <c r="A4" s="4" t="inlineStr">
        <is>
          <t>Substrate Input (t/month)</t>
        </is>
      </c>
      <c r="B4" s="13">
        <f>IFERROR(S4_BSF_Rearing!B27,0)</f>
        <v/>
      </c>
    </row>
    <row r="5">
      <c r="A5" s="4" t="inlineStr">
        <is>
          <t>BSF FW Yield (kg/t substrate)</t>
        </is>
      </c>
      <c r="B5" s="13">
        <f>IFERROR(S4_BSF_Rearing!B24,0)</f>
        <v/>
      </c>
    </row>
    <row r="6">
      <c r="A6" s="38" t="inlineStr">
        <is>
          <t>Frass Mass (t/month)</t>
        </is>
      </c>
      <c r="B6" s="42">
        <f>IFERROR(B4*(1000-B5*1.15)/1000,0)</f>
        <v/>
      </c>
    </row>
    <row r="8">
      <c r="A8" s="3" t="inlineStr">
        <is>
          <t>FRASS COMPOSITION (from research data)</t>
        </is>
      </c>
      <c r="B8" s="3" t="n"/>
      <c r="C8" s="3" t="n"/>
      <c r="D8" s="3" t="n"/>
    </row>
    <row r="9">
      <c r="A9" s="10" t="inlineStr">
        <is>
          <t>N%</t>
        </is>
      </c>
      <c r="B9" s="45" t="n">
        <v>2.5</v>
      </c>
      <c r="D9" s="2" t="inlineStr">
        <is>
          <t>Enriched from BSF metabolism</t>
        </is>
      </c>
    </row>
    <row r="10">
      <c r="A10" s="10" t="inlineStr">
        <is>
          <t>P%</t>
        </is>
      </c>
      <c r="B10" s="45" t="n">
        <v>1.8</v>
      </c>
      <c r="D10" s="2" t="inlineStr">
        <is>
          <t>Concentrated via larval processing</t>
        </is>
      </c>
    </row>
    <row r="11">
      <c r="A11" s="10" t="inlineStr">
        <is>
          <t>K%</t>
        </is>
      </c>
      <c r="B11" s="45" t="n">
        <v>2</v>
      </c>
      <c r="D11" s="2" t="inlineStr">
        <is>
          <t>Retained from substrate</t>
        </is>
      </c>
    </row>
    <row r="12">
      <c r="A12" s="10" t="inlineStr">
        <is>
          <t>OM%</t>
        </is>
      </c>
      <c r="B12" s="45" t="n">
        <v>65</v>
      </c>
      <c r="D12" s="2" t="inlineStr">
        <is>
          <t>Post-bioconversion organic matter</t>
        </is>
      </c>
    </row>
    <row r="13">
      <c r="A13" s="10" t="inlineStr">
        <is>
          <t>pH</t>
        </is>
      </c>
      <c r="B13" s="45" t="n">
        <v>7</v>
      </c>
      <c r="D13" s="2" t="inlineStr">
        <is>
          <t>Near neutral</t>
        </is>
      </c>
    </row>
    <row r="14">
      <c r="A14" s="10" t="inlineStr">
        <is>
          <t>Moisture%</t>
        </is>
      </c>
      <c r="B14" s="45" t="n">
        <v>35</v>
      </c>
      <c r="D14" s="2" t="inlineStr">
        <is>
          <t>Post-screening moisture</t>
        </is>
      </c>
    </row>
    <row r="15">
      <c r="A15" s="10" t="inlineStr">
        <is>
          <t>C:N ratio</t>
        </is>
      </c>
      <c r="B15" s="45" t="n">
        <v>12</v>
      </c>
      <c r="D15" s="2" t="inlineStr">
        <is>
          <t>Excellent for soil application</t>
        </is>
      </c>
    </row>
    <row r="17">
      <c r="A17" s="3" t="inlineStr">
        <is>
          <t>FERTILISER VALUE — NPK vs SYNTHETIC EQUIVALENT</t>
        </is>
      </c>
      <c r="B17" s="3" t="n"/>
      <c r="C17" s="3" t="n"/>
      <c r="D17" s="3" t="n"/>
    </row>
    <row r="18">
      <c r="A18" s="4" t="inlineStr">
        <is>
          <t>Frass N content (t N/month)</t>
        </is>
      </c>
      <c r="B18" s="12">
        <f>IFERROR(B6*2.5/100,0)</f>
        <v/>
      </c>
    </row>
    <row r="19">
      <c r="A19" s="4" t="inlineStr">
        <is>
          <t>Frass P content (t P/month)</t>
        </is>
      </c>
      <c r="B19" s="12">
        <f>IFERROR(B6*1.8/100,0)</f>
        <v/>
      </c>
    </row>
    <row r="20">
      <c r="A20" s="4" t="inlineStr">
        <is>
          <t>Frass K content (t K/month)</t>
        </is>
      </c>
      <c r="B20" s="12">
        <f>IFERROR(B6*2.0/100,0)</f>
        <v/>
      </c>
    </row>
    <row r="22">
      <c r="A22" s="3" t="inlineStr">
        <is>
          <t>SOIL TYPE ADJUSTED APPLICATION</t>
        </is>
      </c>
      <c r="B22" s="3" t="n"/>
      <c r="C22" s="3" t="n"/>
      <c r="D22" s="3" t="n"/>
    </row>
    <row r="23">
      <c r="A23" s="4" t="inlineStr">
        <is>
          <t>Target Soil (from INPUTS)</t>
        </is>
      </c>
      <c r="B23" s="6">
        <f>INPUTS!$B$34</f>
        <v/>
      </c>
    </row>
    <row r="24">
      <c r="A24" s="4" t="inlineStr">
        <is>
          <t>Recommended Application Rate</t>
        </is>
      </c>
      <c r="B24" s="21" t="inlineStr">
        <is>
          <t>5-10 t/ha/yr</t>
        </is>
      </c>
      <c r="D24" s="2" t="inlineStr">
        <is>
          <t>Varies by soil type and palm age</t>
        </is>
      </c>
    </row>
    <row r="26">
      <c r="A26" s="3" t="inlineStr">
        <is>
          <t>FRASS PRODUCT VALUE</t>
        </is>
      </c>
      <c r="B26" s="3" t="n"/>
      <c r="C26" s="3" t="n"/>
      <c r="D26" s="3" t="n"/>
    </row>
    <row r="27">
      <c r="A27" s="4" t="inlineStr">
        <is>
          <t>Frass Price ($/t)</t>
        </is>
      </c>
      <c r="B27" s="46" t="n">
        <v>80</v>
      </c>
    </row>
    <row r="28">
      <c r="A28" s="7" t="inlineStr">
        <is>
          <t>Frass Revenue ($/month)</t>
        </is>
      </c>
      <c r="B28" s="30">
        <f>IFERROR(B6*B27,0)</f>
        <v/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1B3A5C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  <col width="40" customWidth="1" min="4" max="4"/>
  </cols>
  <sheetData>
    <row r="1">
      <c r="A1" s="8" t="inlineStr">
        <is>
          <t>STAGE 5B — BSF LARVAL EXTRACTION</t>
        </is>
      </c>
    </row>
    <row r="3">
      <c r="A3" s="3" t="inlineStr">
        <is>
          <t>LARVAE SEPARATION</t>
        </is>
      </c>
      <c r="B3" s="3" t="n"/>
      <c r="C3" s="3" t="n"/>
      <c r="D3" s="3" t="n"/>
    </row>
    <row r="4">
      <c r="A4" s="10" t="inlineStr">
        <is>
          <t>BSF Fresh Weight (t/month)</t>
        </is>
      </c>
      <c r="B4" s="12">
        <f>IFERROR(S4_BSF_Rearing!B28,0)</f>
        <v/>
      </c>
      <c r="D4" s="2" t="inlineStr">
        <is>
          <t>From Stage 4</t>
        </is>
      </c>
    </row>
    <row r="5">
      <c r="A5" s="10" t="inlineStr">
        <is>
          <t>Separation Method</t>
        </is>
      </c>
      <c r="B5" s="47" t="inlineStr">
        <is>
          <t>Mechanical sieving + thermal</t>
        </is>
      </c>
      <c r="D5" s="2" t="inlineStr">
        <is>
          <t>Industry standard</t>
        </is>
      </c>
    </row>
    <row r="6">
      <c r="A6" s="10" t="inlineStr">
        <is>
          <t>Separation Efficiency</t>
        </is>
      </c>
      <c r="B6" s="47" t="inlineStr">
        <is>
          <t>95%</t>
        </is>
      </c>
      <c r="D6" s="2" t="inlineStr">
        <is>
          <t>Fresh larvae recovery</t>
        </is>
      </c>
    </row>
    <row r="7">
      <c r="A7" s="10" t="inlineStr">
        <is>
          <t>Recovered Larvae (t/month)</t>
        </is>
      </c>
      <c r="B7" s="12">
        <f>IFERROR(B4*0.95,0)</f>
        <v/>
      </c>
      <c r="D7" s="2" t="inlineStr">
        <is>
          <t>Post-separation</t>
        </is>
      </c>
    </row>
    <row r="9">
      <c r="A9" s="3" t="inlineStr">
        <is>
          <t>OIL EXTRACTION</t>
        </is>
      </c>
      <c r="B9" s="3" t="n"/>
      <c r="C9" s="3" t="n"/>
      <c r="D9" s="3" t="n"/>
    </row>
    <row r="10">
      <c r="A10" s="10" t="inlineStr">
        <is>
          <t>BSF DM (t/month)</t>
        </is>
      </c>
      <c r="B10" s="12">
        <f>IFERROR(S4_BSF_Rearing!B29,0)</f>
        <v/>
      </c>
    </row>
    <row r="11">
      <c r="A11" s="10" t="inlineStr">
        <is>
          <t>Crude Fat in DM (t/month)</t>
        </is>
      </c>
      <c r="B11" s="12">
        <f>IFERROR(S4_BSF_Rearing!B30,0)</f>
        <v/>
      </c>
    </row>
    <row r="12">
      <c r="A12" s="10" t="inlineStr">
        <is>
          <t>Oil Press Efficiency</t>
        </is>
      </c>
      <c r="B12" s="47" t="inlineStr">
        <is>
          <t>85%</t>
        </is>
      </c>
    </row>
    <row r="13">
      <c r="A13" s="10" t="inlineStr">
        <is>
          <t>Extracted Oil (t/month)</t>
        </is>
      </c>
      <c r="B13" s="12">
        <f>IFERROR(S4_BSF_Rearing!B31,0)</f>
        <v/>
      </c>
    </row>
    <row r="14">
      <c r="A14" s="10" t="inlineStr">
        <is>
          <t>Oil Residue / Press Cake (t/month)</t>
        </is>
      </c>
      <c r="B14" s="12">
        <f>IFERROR(B11-B13,0)</f>
        <v/>
      </c>
    </row>
    <row r="16">
      <c r="A16" s="3" t="inlineStr">
        <is>
          <t>DEFATTED MEAL</t>
        </is>
      </c>
      <c r="B16" s="3" t="n"/>
      <c r="C16" s="3" t="n"/>
      <c r="D16" s="3" t="n"/>
    </row>
    <row r="17">
      <c r="A17" s="7" t="inlineStr">
        <is>
          <t>Defatted Meal (t/month)</t>
        </is>
      </c>
      <c r="B17" s="40">
        <f>IFERROR(S4_BSF_Rearing!B32,0)</f>
        <v/>
      </c>
    </row>
    <row r="18">
      <c r="A18" s="4" t="inlineStr">
        <is>
          <t>Crude Protein in Meal (%)</t>
        </is>
      </c>
      <c r="B18" s="21" t="n">
        <v>51</v>
      </c>
    </row>
    <row r="20">
      <c r="A20" s="3" t="inlineStr">
        <is>
          <t>CHITIN RECOVERY (OPTIONAL)</t>
        </is>
      </c>
      <c r="B20" s="3" t="n"/>
      <c r="C20" s="3" t="n"/>
      <c r="D20" s="3" t="n"/>
    </row>
    <row r="21">
      <c r="A21" s="4" t="inlineStr">
        <is>
          <t>Chitin in DM (t/month)</t>
        </is>
      </c>
      <c r="B21" s="19">
        <f>IFERROR(S4_BSF_Rearing!B33,0)</f>
        <v/>
      </c>
    </row>
    <row r="22">
      <c r="A22" s="4" t="inlineStr">
        <is>
          <t>Chitin Recovery Feasible</t>
        </is>
      </c>
      <c r="B22" s="21" t="inlineStr">
        <is>
          <t>Optional — requires chemical deproteination</t>
        </is>
      </c>
      <c r="D22" s="48" t="inlineStr">
        <is>
          <t>Flag: not included in base-case revenue</t>
        </is>
      </c>
    </row>
    <row r="24">
      <c r="A24" s="3" t="inlineStr">
        <is>
          <t>STAGE 5B PROCESSING COSTS</t>
        </is>
      </c>
      <c r="B24" s="3" t="n"/>
      <c r="C24" s="3" t="n"/>
      <c r="D24" s="3" t="n"/>
    </row>
    <row r="25">
      <c r="A25" s="10" t="inlineStr">
        <is>
          <t>Drying Cost ($/t FW larvae)</t>
        </is>
      </c>
      <c r="B25" s="46" t="n">
        <v>25</v>
      </c>
    </row>
    <row r="26">
      <c r="A26" s="10" t="inlineStr">
        <is>
          <t>Oil Pressing Cost ($/t DM)</t>
        </is>
      </c>
      <c r="B26" s="46" t="n">
        <v>40</v>
      </c>
    </row>
    <row r="27">
      <c r="A27" s="10" t="inlineStr">
        <is>
          <t>Separation Cost ($/t FW)</t>
        </is>
      </c>
      <c r="B27" s="46" t="n">
        <v>15</v>
      </c>
    </row>
    <row r="28">
      <c r="A28" s="10" t="inlineStr">
        <is>
          <t>Packaging / Storage ($/t product)</t>
        </is>
      </c>
      <c r="B28" s="46" t="n">
        <v>20</v>
      </c>
    </row>
    <row r="29">
      <c r="A29" s="7" t="inlineStr">
        <is>
          <t>Total Processing Cost ($/month)</t>
        </is>
      </c>
      <c r="B29" s="22">
        <f>IFERROR(B25*S4_BSF_Rearing!B28+B26*S4_BSF_Rearing!B29+B27*S4_BSF_Rearing!B28+B28*(S4_BSF_Rearing!B32+S4_BSF_Rearing!B31),0)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B3A5C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30" customWidth="1" min="5" max="5"/>
  </cols>
  <sheetData>
    <row r="1">
      <c r="A1" s="8" t="inlineStr">
        <is>
          <t>STAGE 6 — PRODUCT VALUATION BY CERTIFICATION TIER</t>
        </is>
      </c>
    </row>
    <row r="2">
      <c r="A2" s="7" t="inlineStr">
        <is>
          <t>Selected Certification Tier:</t>
        </is>
      </c>
      <c r="B2" s="6">
        <f>INPUTS!$B$33</f>
        <v/>
      </c>
    </row>
    <row r="4">
      <c r="A4" s="3" t="inlineStr">
        <is>
          <t>INSECT MEAL VALUATION</t>
        </is>
      </c>
      <c r="B4" s="3" t="n"/>
      <c r="C4" s="3" t="n"/>
      <c r="D4" s="3" t="n"/>
      <c r="E4" s="3" t="n"/>
    </row>
    <row r="5">
      <c r="A5" s="9" t="inlineStr">
        <is>
          <t>Product</t>
        </is>
      </c>
      <c r="B5" s="9" t="inlineStr">
        <is>
          <t>Mass (t/month)</t>
        </is>
      </c>
      <c r="C5" s="9" t="inlineStr">
        <is>
          <t>Price ($/t)</t>
        </is>
      </c>
      <c r="D5" s="9" t="inlineStr">
        <is>
          <t>Revenue ($/month)</t>
        </is>
      </c>
      <c r="E5" s="9" t="inlineStr">
        <is>
          <t>Notes</t>
        </is>
      </c>
    </row>
    <row r="6">
      <c r="A6" s="10" t="inlineStr">
        <is>
          <t>Defatted Insect Meal</t>
        </is>
      </c>
      <c r="B6" s="12">
        <f>IFERROR(S5B_BSF_Extraction!B17,0)</f>
        <v/>
      </c>
      <c r="C6" s="22">
        <f>IF(INPUTS!$B$33="None",1200,IF(INPUTS!$B$33="FSSC 22000",3500,IF(INPUTS!$B$33="ISO 22716",4500,1200)))</f>
        <v/>
      </c>
      <c r="D6" s="30">
        <f>IFERROR(B6*C6,0)</f>
        <v/>
      </c>
      <c r="E6" s="2" t="inlineStr">
        <is>
          <t>Guardrail 4: verified price ranges</t>
        </is>
      </c>
    </row>
    <row r="7">
      <c r="A7" s="2" t="inlineStr">
        <is>
          <t xml:space="preserve">  Price Range: None</t>
        </is>
      </c>
      <c r="C7" s="49" t="inlineStr">
        <is>
          <t>$1200/t</t>
        </is>
      </c>
    </row>
    <row r="8">
      <c r="A8" s="2" t="inlineStr">
        <is>
          <t xml:space="preserve">  Price Range: FSSC 22000</t>
        </is>
      </c>
      <c r="C8" s="49" t="inlineStr">
        <is>
          <t>$3500-5000/t</t>
        </is>
      </c>
    </row>
    <row r="9">
      <c r="A9" s="2" t="inlineStr">
        <is>
          <t xml:space="preserve">  Price Range: ISO 22716 Premium</t>
        </is>
      </c>
      <c r="C9" s="49" t="inlineStr">
        <is>
          <t>$4500-6500/t</t>
        </is>
      </c>
    </row>
    <row r="11">
      <c r="A11" s="3" t="inlineStr">
        <is>
          <t>INSECT OIL VALUATION</t>
        </is>
      </c>
      <c r="B11" s="3" t="n"/>
      <c r="C11" s="3" t="n"/>
      <c r="D11" s="3" t="n"/>
      <c r="E11" s="3" t="n"/>
    </row>
    <row r="12">
      <c r="A12" s="9" t="inlineStr">
        <is>
          <t>Product</t>
        </is>
      </c>
      <c r="B12" s="9" t="inlineStr">
        <is>
          <t>Mass (t/month)</t>
        </is>
      </c>
      <c r="C12" s="9" t="inlineStr">
        <is>
          <t>Price ($/t)</t>
        </is>
      </c>
      <c r="D12" s="9" t="inlineStr">
        <is>
          <t>Revenue ($/month)</t>
        </is>
      </c>
      <c r="E12" s="9" t="inlineStr">
        <is>
          <t>Notes</t>
        </is>
      </c>
    </row>
    <row r="13">
      <c r="A13" s="10" t="inlineStr">
        <is>
          <t>Insect Oil</t>
        </is>
      </c>
      <c r="B13" s="12">
        <f>IFERROR(S5B_BSF_Extraction!B13,0)</f>
        <v/>
      </c>
      <c r="C13" s="22">
        <f>IF(INPUTS!$B$33="None",900,IF(INPUTS!$B$33="FSSC 22000",3500,IF(INPUTS!$B$33="ISO 22716",9000,900)))</f>
        <v/>
      </c>
      <c r="D13" s="30">
        <f>IFERROR(B13*C13,0)</f>
        <v/>
      </c>
    </row>
    <row r="14">
      <c r="A14" s="2" t="inlineStr">
        <is>
          <t xml:space="preserve">  Feed grade (None)</t>
        </is>
      </c>
      <c r="C14" s="49" t="inlineStr">
        <is>
          <t>$900-1200/t</t>
        </is>
      </c>
    </row>
    <row r="15">
      <c r="A15" s="2" t="inlineStr">
        <is>
          <t xml:space="preserve">  FSSC 22000</t>
        </is>
      </c>
      <c r="C15" s="49" t="inlineStr">
        <is>
          <t>$3500-6000/t</t>
        </is>
      </c>
    </row>
    <row r="16">
      <c r="A16" s="2" t="inlineStr">
        <is>
          <t xml:space="preserve">  ISO 22716 (Pharma lipid)</t>
        </is>
      </c>
      <c r="C16" s="49" t="inlineStr">
        <is>
          <t>$9000-18000/t</t>
        </is>
      </c>
      <c r="E16" s="50" t="inlineStr">
        <is>
          <t>FSSC/ISO unlocks 3-9x oil uplift</t>
        </is>
      </c>
    </row>
    <row r="18">
      <c r="A18" s="3" t="inlineStr">
        <is>
          <t>FRASS FERTILISER VALUATION</t>
        </is>
      </c>
      <c r="B18" s="3" t="n"/>
      <c r="C18" s="3" t="n"/>
      <c r="D18" s="3" t="n"/>
      <c r="E18" s="3" t="n"/>
    </row>
    <row r="19">
      <c r="A19" s="10" t="inlineStr">
        <is>
          <t>Frass Fertiliser</t>
        </is>
      </c>
      <c r="B19" s="13">
        <f>IFERROR(S5A_Frass_Pathway!B6,0)</f>
        <v/>
      </c>
      <c r="C19" s="46" t="n">
        <v>80</v>
      </c>
      <c r="D19" s="30">
        <f>IFERROR(B19*C19,0)</f>
        <v/>
      </c>
    </row>
    <row r="21">
      <c r="A21" s="3" t="inlineStr">
        <is>
          <t>CHITIN VALUATION (OPTIONAL)</t>
        </is>
      </c>
      <c r="B21" s="3" t="n"/>
      <c r="C21" s="3" t="n"/>
      <c r="D21" s="3" t="n"/>
      <c r="E21" s="3" t="n"/>
    </row>
    <row r="22">
      <c r="A22" s="10" t="inlineStr">
        <is>
          <t>Chitin (if extracted)</t>
        </is>
      </c>
      <c r="B22" s="19">
        <f>IFERROR(S4_BSF_Rearing!B33,0)</f>
        <v/>
      </c>
      <c r="C22" s="46" t="n">
        <v>15000</v>
      </c>
      <c r="D22" s="22">
        <f>IFERROR(B22*C22,0)</f>
        <v/>
      </c>
      <c r="E22" s="49" t="inlineStr">
        <is>
          <t>Range: $15,000-25,000/t</t>
        </is>
      </c>
    </row>
    <row r="24">
      <c r="A24" s="3" t="inlineStr">
        <is>
          <t>TOTAL REVENUE SUMMARY</t>
        </is>
      </c>
      <c r="B24" s="3" t="n"/>
      <c r="C24" s="3" t="n"/>
      <c r="D24" s="3" t="n"/>
      <c r="E24" s="3" t="n"/>
    </row>
    <row r="25">
      <c r="A25" s="38" t="inlineStr">
        <is>
          <t>Total Monthly Revenue (excl. chitin)</t>
        </is>
      </c>
      <c r="B25" s="51">
        <f>IFERROR(D6+D13+D19,0)</f>
        <v/>
      </c>
      <c r="C25" s="27" t="n"/>
      <c r="D25" s="28" t="n"/>
    </row>
    <row r="26">
      <c r="A26" s="7" t="inlineStr">
        <is>
          <t>Total Monthly Revenue (incl. chitin)</t>
        </is>
      </c>
      <c r="B26" s="22">
        <f>IFERROR(B25+D22,0)</f>
        <v/>
      </c>
      <c r="C26" s="27" t="n"/>
      <c r="D26" s="28" t="n"/>
    </row>
    <row r="27">
      <c r="A27" s="38" t="inlineStr">
        <is>
          <t>Total Annual Revenue (excl. chitin)</t>
        </is>
      </c>
      <c r="B27" s="51">
        <f>IFERROR(B25*12,0)</f>
        <v/>
      </c>
      <c r="C27" s="27" t="n"/>
      <c r="D27" s="28" t="n"/>
    </row>
  </sheetData>
  <mergeCells count="4">
    <mergeCell ref="B26:D26"/>
    <mergeCell ref="B27:D27"/>
    <mergeCell ref="B25:D25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D4A017"/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8" t="inlineStr">
        <is>
          <t>CFI BIOCONVERSION — EXECUTIVE SUMMARY DASHBOARD</t>
        </is>
      </c>
    </row>
    <row r="3">
      <c r="A3" s="3" t="inlineStr">
        <is>
          <t>KEY INPUTS</t>
        </is>
      </c>
      <c r="B3" s="3" t="n"/>
      <c r="C3" s="3" t="n"/>
      <c r="D3" s="3" t="n"/>
      <c r="E3" s="3" t="n"/>
    </row>
    <row r="4">
      <c r="A4" s="10" t="inlineStr">
        <is>
          <t>FFB Mill Capacity</t>
        </is>
      </c>
      <c r="B4" s="6">
        <f>INPUTS!$B$4</f>
        <v/>
      </c>
      <c r="C4" s="2" t="inlineStr">
        <is>
          <t>TPH</t>
        </is>
      </c>
    </row>
    <row r="5">
      <c r="A5" s="10" t="inlineStr">
        <is>
          <t>Blend Ratio (EFB:OPDC)</t>
        </is>
      </c>
      <c r="B5" s="6">
        <f>INPUTS!$B$9&amp;":"&amp;INPUTS!$B$10</f>
        <v/>
      </c>
      <c r="C5" s="2" t="inlineStr"/>
    </row>
    <row r="6">
      <c r="A6" s="10" t="inlineStr">
        <is>
          <t>BSF Grow Days</t>
        </is>
      </c>
      <c r="B6" s="6">
        <f>INPUTS!$B$30</f>
        <v/>
      </c>
      <c r="C6" s="2" t="inlineStr">
        <is>
          <t>days</t>
        </is>
      </c>
    </row>
    <row r="7">
      <c r="A7" s="10" t="inlineStr">
        <is>
          <t>Certification Tier</t>
        </is>
      </c>
      <c r="B7" s="6">
        <f>INPUTS!$B$33</f>
        <v/>
      </c>
      <c r="C7" s="2" t="inlineStr"/>
    </row>
    <row r="8">
      <c r="A8" s="10" t="inlineStr">
        <is>
          <t>Rearing Area</t>
        </is>
      </c>
      <c r="B8" s="6">
        <f>INPUTS!$B$29</f>
        <v/>
      </c>
      <c r="C8" s="2" t="inlineStr">
        <is>
          <t>m2</t>
        </is>
      </c>
    </row>
    <row r="10">
      <c r="A10" s="3" t="inlineStr">
        <is>
          <t>MONTHLY PRODUCTION</t>
        </is>
      </c>
      <c r="B10" s="3" t="n"/>
      <c r="C10" s="3" t="n"/>
      <c r="D10" s="3" t="n"/>
      <c r="E10" s="3" t="n"/>
    </row>
    <row r="11">
      <c r="A11" s="10" t="inlineStr">
        <is>
          <t>Total Substrate Processed</t>
        </is>
      </c>
      <c r="B11" s="12">
        <f>IFERROR(S1_Preprocessing!B12,0)</f>
        <v/>
      </c>
      <c r="C11" s="2" t="inlineStr">
        <is>
          <t>t/month</t>
        </is>
      </c>
    </row>
    <row r="12">
      <c r="A12" s="10" t="inlineStr">
        <is>
          <t>BSF Fresh Weight</t>
        </is>
      </c>
      <c r="B12" s="12">
        <f>IFERROR(S4_BSF_Rearing!B28,0)</f>
        <v/>
      </c>
      <c r="C12" s="2" t="inlineStr">
        <is>
          <t>t/month</t>
        </is>
      </c>
    </row>
    <row r="13">
      <c r="A13" s="10" t="inlineStr">
        <is>
          <t>BSF Dry Matter</t>
        </is>
      </c>
      <c r="B13" s="12">
        <f>IFERROR(S4_BSF_Rearing!B29,0)</f>
        <v/>
      </c>
      <c r="C13" s="2" t="inlineStr">
        <is>
          <t>t/month</t>
        </is>
      </c>
    </row>
    <row r="14">
      <c r="A14" s="10" t="inlineStr">
        <is>
          <t>Insect Meal (defatted)</t>
        </is>
      </c>
      <c r="B14" s="12">
        <f>IFERROR(S4_BSF_Rearing!B32,0)</f>
        <v/>
      </c>
      <c r="C14" s="2" t="inlineStr">
        <is>
          <t>t/month</t>
        </is>
      </c>
    </row>
    <row r="15">
      <c r="A15" s="10" t="inlineStr">
        <is>
          <t>Insect Oil</t>
        </is>
      </c>
      <c r="B15" s="12">
        <f>IFERROR(S4_BSF_Rearing!B31,0)</f>
        <v/>
      </c>
      <c r="C15" s="2" t="inlineStr">
        <is>
          <t>t/month</t>
        </is>
      </c>
    </row>
    <row r="16">
      <c r="A16" s="10" t="inlineStr">
        <is>
          <t>Frass / Compost</t>
        </is>
      </c>
      <c r="B16" s="12">
        <f>IFERROR(S5A_Frass_Pathway!B6,0)</f>
        <v/>
      </c>
      <c r="C16" s="2" t="inlineStr">
        <is>
          <t>t/month</t>
        </is>
      </c>
    </row>
    <row r="17">
      <c r="A17" s="10" t="inlineStr">
        <is>
          <t>Chitin (optional)</t>
        </is>
      </c>
      <c r="B17" s="12">
        <f>IFERROR(S4_BSF_Rearing!B33,0)</f>
        <v/>
      </c>
      <c r="C17" s="2" t="inlineStr">
        <is>
          <t>t/month</t>
        </is>
      </c>
    </row>
    <row r="19">
      <c r="A19" s="3" t="inlineStr">
        <is>
          <t>REVENUE SUMMARY</t>
        </is>
      </c>
      <c r="B19" s="3" t="n"/>
      <c r="C19" s="3" t="n"/>
      <c r="D19" s="3" t="n"/>
      <c r="E19" s="3" t="n"/>
    </row>
    <row r="20">
      <c r="A20" s="9" t="inlineStr">
        <is>
          <t>Revenue Stream</t>
        </is>
      </c>
      <c r="B20" s="9" t="inlineStr">
        <is>
          <t>Monthly ($)</t>
        </is>
      </c>
      <c r="C20" s="9" t="inlineStr">
        <is>
          <t>Annual ($)</t>
        </is>
      </c>
      <c r="D20" s="9" t="inlineStr">
        <is>
          <t>% of Total</t>
        </is>
      </c>
    </row>
    <row r="21">
      <c r="A21" s="10" t="inlineStr">
        <is>
          <t>Insect Meal</t>
        </is>
      </c>
      <c r="B21" s="22">
        <f>IFERROR(S6_Product_Valuation!D6,0)</f>
        <v/>
      </c>
      <c r="C21" s="22">
        <f>IFERROR(B21*12,0)</f>
        <v/>
      </c>
      <c r="D21" s="24">
        <f>IFERROR(B21/B24,0)</f>
        <v/>
      </c>
    </row>
    <row r="22">
      <c r="A22" s="10" t="inlineStr">
        <is>
          <t>Insect Oil</t>
        </is>
      </c>
      <c r="B22" s="22">
        <f>IFERROR(S6_Product_Valuation!D13,0)</f>
        <v/>
      </c>
      <c r="C22" s="22">
        <f>IFERROR(B22*12,0)</f>
        <v/>
      </c>
      <c r="D22" s="24">
        <f>IFERROR(B22/B24,0)</f>
        <v/>
      </c>
    </row>
    <row r="23">
      <c r="A23" s="10" t="inlineStr">
        <is>
          <t>Frass Fertiliser</t>
        </is>
      </c>
      <c r="B23" s="22">
        <f>IFERROR(S6_Product_Valuation!D19,0)</f>
        <v/>
      </c>
      <c r="C23" s="22">
        <f>IFERROR(B23*12,0)</f>
        <v/>
      </c>
      <c r="D23" s="24">
        <f>IFERROR(B23/B24,0)</f>
        <v/>
      </c>
    </row>
    <row r="24">
      <c r="A24" s="38" t="inlineStr">
        <is>
          <t>TOTAL REVENUE</t>
        </is>
      </c>
      <c r="B24" s="51">
        <f>IFERROR(SUM(B21:B23),0)</f>
        <v/>
      </c>
      <c r="C24" s="51">
        <f>IFERROR(B24*12,0)</f>
        <v/>
      </c>
      <c r="D24" s="7" t="inlineStr">
        <is>
          <t>100%</t>
        </is>
      </c>
    </row>
    <row r="26">
      <c r="A26" s="3" t="inlineStr">
        <is>
          <t>COST BREAKDOWN BY STAGE</t>
        </is>
      </c>
      <c r="B26" s="3" t="n"/>
      <c r="C26" s="3" t="n"/>
      <c r="D26" s="3" t="n"/>
      <c r="E26" s="3" t="n"/>
    </row>
    <row r="27">
      <c r="A27" s="10" t="inlineStr">
        <is>
          <t>Stage 1: Preprocessing</t>
        </is>
      </c>
      <c r="B27" s="22">
        <f>IFERROR(S1_Preprocessing!B35,0)</f>
        <v/>
      </c>
      <c r="C27" s="22">
        <f>IFERROR(B27*12,0)</f>
        <v/>
      </c>
    </row>
    <row r="28">
      <c r="A28" s="10" t="inlineStr">
        <is>
          <t>Stage 2: Chemical Treatment</t>
        </is>
      </c>
      <c r="B28" s="22">
        <f>IFERROR(S2_Chemical_Treatment!B33,0)</f>
        <v/>
      </c>
      <c r="C28" s="22">
        <f>IFERROR(B28*12,0)</f>
        <v/>
      </c>
    </row>
    <row r="29">
      <c r="A29" s="10" t="inlineStr">
        <is>
          <t>Stage 3: Biological Treatment</t>
        </is>
      </c>
      <c r="B29" s="22">
        <f>IFERROR(S3_Biological_Treatment!B33,0)</f>
        <v/>
      </c>
      <c r="C29" s="22">
        <f>IFERROR(B29*12,0)</f>
        <v/>
      </c>
    </row>
    <row r="30">
      <c r="A30" s="10" t="inlineStr">
        <is>
          <t>Stage 4: BSF Neonates</t>
        </is>
      </c>
      <c r="B30" s="22">
        <f>IFERROR(S4_BSF_Rearing!B8,0)</f>
        <v/>
      </c>
      <c r="C30" s="22">
        <f>IFERROR(B30*12,0)</f>
        <v/>
      </c>
    </row>
    <row r="31">
      <c r="A31" s="10" t="inlineStr">
        <is>
          <t>Stage 5B: Processing</t>
        </is>
      </c>
      <c r="B31" s="22">
        <f>IFERROR(S5B_BSF_Extraction!B29,0)</f>
        <v/>
      </c>
      <c r="C31" s="22">
        <f>IFERROR(B31*12,0)</f>
        <v/>
      </c>
    </row>
    <row r="32">
      <c r="A32" s="38" t="inlineStr">
        <is>
          <t>TOTAL COSTS</t>
        </is>
      </c>
      <c r="B32" s="52">
        <f>IFERROR(SUM(B27:B31),0)</f>
        <v/>
      </c>
      <c r="C32" s="22">
        <f>IFERROR(B32*12,0)</f>
        <v/>
      </c>
    </row>
    <row r="34">
      <c r="A34" s="3" t="inlineStr">
        <is>
          <t>PROFITABILITY</t>
        </is>
      </c>
      <c r="B34" s="3" t="n"/>
      <c r="C34" s="3" t="n"/>
      <c r="D34" s="3" t="n"/>
      <c r="E34" s="3" t="n"/>
    </row>
    <row r="35">
      <c r="A35" s="7" t="inlineStr">
        <is>
          <t>Gross Profit ($/month)</t>
        </is>
      </c>
      <c r="B35" s="30">
        <f>IFERROR(B24-B32,0)</f>
        <v/>
      </c>
    </row>
    <row r="36">
      <c r="A36" s="7" t="inlineStr">
        <is>
          <t>Gross Margin (%)</t>
        </is>
      </c>
      <c r="B36" s="24">
        <f>IFERROR(B35/B24,0)</f>
        <v/>
      </c>
    </row>
    <row r="37">
      <c r="A37" s="7" t="inlineStr">
        <is>
          <t>Revenue per Tonne Substrate ($/t)</t>
        </is>
      </c>
      <c r="B37" s="23">
        <f>IFERROR(B24/B11,0)</f>
        <v/>
      </c>
    </row>
    <row r="39">
      <c r="A39" s="3" t="inlineStr">
        <is>
          <t>CERTIFICATION UPLIFT COMPARISON</t>
        </is>
      </c>
      <c r="B39" s="3" t="n"/>
      <c r="C39" s="3" t="n"/>
      <c r="D39" s="3" t="n"/>
      <c r="E39" s="3" t="n"/>
    </row>
    <row r="40">
      <c r="A40" s="9" t="inlineStr">
        <is>
          <t>Metric</t>
        </is>
      </c>
      <c r="B40" s="9" t="inlineStr">
        <is>
          <t>None</t>
        </is>
      </c>
      <c r="C40" s="9" t="inlineStr">
        <is>
          <t>FSSC 22000</t>
        </is>
      </c>
      <c r="D40" s="9" t="inlineStr">
        <is>
          <t>ISO 22716</t>
        </is>
      </c>
    </row>
    <row r="41">
      <c r="A41" s="10" t="inlineStr">
        <is>
          <t>Meal Price ($/t)</t>
        </is>
      </c>
      <c r="B41" s="46" t="n">
        <v>1200</v>
      </c>
      <c r="C41" s="46" t="n">
        <v>3500</v>
      </c>
      <c r="D41" s="46" t="n">
        <v>4500</v>
      </c>
    </row>
    <row r="42">
      <c r="A42" s="10" t="inlineStr">
        <is>
          <t>Oil Price ($/t)</t>
        </is>
      </c>
      <c r="B42" s="46" t="n">
        <v>900</v>
      </c>
      <c r="C42" s="46" t="n">
        <v>3500</v>
      </c>
      <c r="D42" s="46" t="n">
        <v>9000</v>
      </c>
    </row>
    <row r="43">
      <c r="A43" s="10" t="inlineStr">
        <is>
          <t>Meal Revenue ($/month)</t>
        </is>
      </c>
      <c r="B43" s="22">
        <f>IFERROR(S4_BSF_Rearing!$B$32*B41,0)</f>
        <v/>
      </c>
      <c r="C43" s="22">
        <f>IFERROR(S4_BSF_Rearing!$B$32*C41,0)</f>
        <v/>
      </c>
      <c r="D43" s="22">
        <f>IFERROR(S4_BSF_Rearing!$B$32*D41,0)</f>
        <v/>
      </c>
    </row>
    <row r="44">
      <c r="A44" s="10" t="inlineStr">
        <is>
          <t>Oil Revenue ($/month)</t>
        </is>
      </c>
      <c r="B44" s="22">
        <f>IFERROR(S4_BSF_Rearing!$B$31*B42,0)</f>
        <v/>
      </c>
      <c r="C44" s="22">
        <f>IFERROR(S4_BSF_Rearing!$B$31*C42,0)</f>
        <v/>
      </c>
      <c r="D44" s="22">
        <f>IFERROR(S4_BSF_Rearing!$B$31*D42,0)</f>
        <v/>
      </c>
    </row>
    <row r="45">
      <c r="A45" s="36" t="inlineStr">
        <is>
          <t>Total Revenue ($/month)</t>
        </is>
      </c>
      <c r="B45" s="30">
        <f>IFERROR(B43+B44+S6_Product_Valuation!D19,0)</f>
        <v/>
      </c>
      <c r="C45" s="30">
        <f>IFERROR(C43+C44+S6_Product_Valuation!D19,0)</f>
        <v/>
      </c>
      <c r="D45" s="30">
        <f>IFERROR(D43+D44+S6_Product_Valuation!D19,0)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D6A6A"/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>
      <c r="A1" s="8" t="inlineStr">
        <is>
          <t>INDONESIAN SOIL TYPES &amp; FERTILISER MATRIX</t>
        </is>
      </c>
    </row>
    <row r="3">
      <c r="A3" s="3" t="inlineStr">
        <is>
          <t>SOIL TYPE PARAMETERS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9" t="inlineStr">
        <is>
          <t>Soil Type</t>
        </is>
      </c>
      <c r="B4" s="9" t="inlineStr">
        <is>
          <t>Coverage%</t>
        </is>
      </c>
      <c r="C4" s="9" t="inlineStr">
        <is>
          <t>pH</t>
        </is>
      </c>
      <c r="D4" s="9" t="inlineStr">
        <is>
          <t>CEC</t>
        </is>
      </c>
      <c r="E4" s="9" t="inlineStr">
        <is>
          <t>Base Sat%</t>
        </is>
      </c>
      <c r="F4" s="9" t="inlineStr">
        <is>
          <t>N (g/kg)</t>
        </is>
      </c>
      <c r="G4" s="9" t="inlineStr">
        <is>
          <t>P (mg/kg)</t>
        </is>
      </c>
      <c r="H4" s="9" t="inlineStr">
        <is>
          <t>K (cmol/kg)</t>
        </is>
      </c>
      <c r="I4" s="9" t="inlineStr">
        <is>
          <t>Yield Factor</t>
        </is>
      </c>
      <c r="J4" s="9" t="inlineStr">
        <is>
          <t>Notes</t>
        </is>
      </c>
    </row>
    <row r="5">
      <c r="A5" s="10" t="inlineStr">
        <is>
          <t>Inceptisols</t>
        </is>
      </c>
      <c r="B5" s="10" t="n">
        <v>39</v>
      </c>
      <c r="C5" s="10" t="n">
        <v>4.1</v>
      </c>
      <c r="D5" s="10" t="n">
        <v>15.4</v>
      </c>
      <c r="E5" s="10" t="n">
        <v>45</v>
      </c>
      <c r="F5" s="10" t="n">
        <v>2.7</v>
      </c>
      <c r="G5" s="10" t="n">
        <v>124</v>
      </c>
      <c r="H5" s="10" t="n">
        <v>0.25</v>
      </c>
      <c r="I5" s="10" t="n">
        <v>1</v>
      </c>
      <c r="J5" s="10" t="inlineStr">
        <is>
          <t>Best fertility, standard reference</t>
        </is>
      </c>
    </row>
    <row r="6">
      <c r="A6" s="10" t="inlineStr">
        <is>
          <t>Ultisols</t>
        </is>
      </c>
      <c r="B6" s="10" t="n">
        <v>24</v>
      </c>
      <c r="C6" s="10" t="n">
        <v>4.5</v>
      </c>
      <c r="D6" s="10" t="n">
        <v>8.199999999999999</v>
      </c>
      <c r="E6" s="10" t="n">
        <v>22</v>
      </c>
      <c r="F6" s="10" t="n">
        <v>1.8</v>
      </c>
      <c r="G6" s="10" t="n">
        <v>65</v>
      </c>
      <c r="H6" s="10" t="n">
        <v>0.15</v>
      </c>
      <c r="I6" s="10" t="n">
        <v>1</v>
      </c>
      <c r="J6" s="10" t="inlineStr">
        <is>
          <t>Standard NPK baseline for fertiliser calcs</t>
        </is>
      </c>
    </row>
    <row r="7">
      <c r="A7" s="10" t="inlineStr">
        <is>
          <t>Oxisols</t>
        </is>
      </c>
      <c r="B7" s="10" t="n">
        <v>8</v>
      </c>
      <c r="C7" s="10" t="n">
        <v>4.4</v>
      </c>
      <c r="D7" s="10" t="n">
        <v>5.5</v>
      </c>
      <c r="E7" s="10" t="n">
        <v>15</v>
      </c>
      <c r="F7" s="10" t="n">
        <v>1.5</v>
      </c>
      <c r="G7" s="10" t="n">
        <v>40</v>
      </c>
      <c r="H7" s="10" t="n">
        <v>0.1</v>
      </c>
      <c r="I7" s="10" t="n">
        <v>0.85</v>
      </c>
      <c r="J7" s="10" t="inlineStr">
        <is>
          <t>Fe/Al oxide-dominant, low CEC, high P fixation</t>
        </is>
      </c>
    </row>
    <row r="8">
      <c r="A8" s="10" t="inlineStr">
        <is>
          <t>Histosols</t>
        </is>
      </c>
      <c r="B8" s="10" t="n">
        <v>7</v>
      </c>
      <c r="C8" s="10" t="n">
        <v>3.8</v>
      </c>
      <c r="D8" s="10" t="n">
        <v>45</v>
      </c>
      <c r="E8" s="10" t="n">
        <v>10</v>
      </c>
      <c r="F8" s="10" t="n">
        <v>15</v>
      </c>
      <c r="G8" s="10" t="n">
        <v>200</v>
      </c>
      <c r="H8" s="10" t="n">
        <v>0.08</v>
      </c>
      <c r="I8" s="10" t="n">
        <v>0.9</v>
      </c>
      <c r="J8" s="10" t="inlineStr">
        <is>
          <t>Peat/organic, C=24.5%, very high OM</t>
        </is>
      </c>
    </row>
    <row r="9">
      <c r="A9" s="10" t="inlineStr">
        <is>
          <t>Spodosols</t>
        </is>
      </c>
      <c r="B9" s="10" t="n">
        <v>22</v>
      </c>
      <c r="C9" s="10" t="n">
        <v>4.77</v>
      </c>
      <c r="D9" s="10" t="n">
        <v>4</v>
      </c>
      <c r="E9" s="10" t="n">
        <v>12</v>
      </c>
      <c r="F9" s="10" t="n">
        <v>1</v>
      </c>
      <c r="G9" s="10" t="n">
        <v>30</v>
      </c>
      <c r="H9" s="10" t="n">
        <v>0.08</v>
      </c>
      <c r="I9" s="10" t="n">
        <v>0.6899999999999999</v>
      </c>
      <c r="J9" s="10" t="inlineStr">
        <is>
          <t>Sandy, lowest fertility, ~31% lower yield vs Ultisols</t>
        </is>
      </c>
    </row>
    <row r="11">
      <c r="A11" s="3" t="inlineStr">
        <is>
          <t>NPK REQUIREMENTS BY PALM AGE BRACKET (kg/ha/yr — Ultisol baseline)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9" t="inlineStr">
        <is>
          <t>Age Bracket</t>
        </is>
      </c>
      <c r="B12" s="9" t="inlineStr">
        <is>
          <t>N (kg/ha/yr)</t>
        </is>
      </c>
      <c r="C12" s="9" t="inlineStr">
        <is>
          <t>P (kg/ha/yr)</t>
        </is>
      </c>
      <c r="D12" s="9" t="inlineStr">
        <is>
          <t>K (kg/ha/yr)</t>
        </is>
      </c>
    </row>
    <row r="13">
      <c r="A13" s="10" t="inlineStr">
        <is>
          <t>Young 1-3yr</t>
        </is>
      </c>
      <c r="B13" s="21" t="n">
        <v>80</v>
      </c>
      <c r="C13" s="21" t="n">
        <v>35</v>
      </c>
      <c r="D13" s="21" t="n">
        <v>60</v>
      </c>
    </row>
    <row r="14">
      <c r="A14" s="10" t="inlineStr">
        <is>
          <t>Immature 4-6yr</t>
        </is>
      </c>
      <c r="B14" s="21" t="n">
        <v>120</v>
      </c>
      <c r="C14" s="21" t="n">
        <v>50</v>
      </c>
      <c r="D14" s="21" t="n">
        <v>100</v>
      </c>
    </row>
    <row r="15">
      <c r="A15" s="10" t="inlineStr">
        <is>
          <t>Mature 7-15yr</t>
        </is>
      </c>
      <c r="B15" s="21" t="n">
        <v>150</v>
      </c>
      <c r="C15" s="21" t="n">
        <v>60</v>
      </c>
      <c r="D15" s="21" t="n">
        <v>180</v>
      </c>
    </row>
    <row r="16">
      <c r="A16" s="10" t="inlineStr">
        <is>
          <t>Old 16+yr</t>
        </is>
      </c>
      <c r="B16" s="21" t="n">
        <v>130</v>
      </c>
      <c r="C16" s="21" t="n">
        <v>55</v>
      </c>
      <c r="D16" s="21" t="n">
        <v>150</v>
      </c>
    </row>
    <row r="18">
      <c r="A18" s="3" t="inlineStr">
        <is>
          <t>CFI FRASS + PKSA SUBSTITUTION BY SOIL TYPE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9" t="inlineStr">
        <is>
          <t>Soil Type</t>
        </is>
      </c>
      <c r="B19" s="9" t="inlineStr">
        <is>
          <t>N Reduction%</t>
        </is>
      </c>
      <c r="C19" s="9" t="inlineStr">
        <is>
          <t>P Reduction%</t>
        </is>
      </c>
      <c r="D19" s="9" t="inlineStr">
        <is>
          <t>Frass Rate (t/ha)</t>
        </is>
      </c>
      <c r="E19" s="9" t="inlineStr">
        <is>
          <t>PKSA Rate (t/ha)</t>
        </is>
      </c>
      <c r="F19" s="9" t="inlineStr">
        <is>
          <t>Synthetic Cost Saved ($/ha/yr)</t>
        </is>
      </c>
    </row>
    <row r="20">
      <c r="A20" s="10" t="inlineStr">
        <is>
          <t>Inceptisols</t>
        </is>
      </c>
      <c r="B20" s="21" t="n">
        <v>40</v>
      </c>
      <c r="C20" s="21" t="n">
        <v>50</v>
      </c>
      <c r="D20" s="21" t="n">
        <v>5</v>
      </c>
      <c r="E20" s="21" t="n">
        <v>2</v>
      </c>
      <c r="F20" s="41" t="n">
        <v>82.8</v>
      </c>
    </row>
    <row r="21">
      <c r="A21" s="10" t="inlineStr">
        <is>
          <t>Ultisols</t>
        </is>
      </c>
      <c r="B21" s="21" t="n">
        <v>0</v>
      </c>
      <c r="C21" s="21" t="n">
        <v>0</v>
      </c>
      <c r="D21" s="21" t="n">
        <v>10</v>
      </c>
      <c r="E21" s="21" t="n">
        <v>1</v>
      </c>
      <c r="F21" s="41" t="n">
        <v>124.8</v>
      </c>
    </row>
    <row r="22">
      <c r="A22" s="10" t="inlineStr">
        <is>
          <t>Oxisols</t>
        </is>
      </c>
      <c r="B22" s="21" t="n">
        <v>0</v>
      </c>
      <c r="C22" s="21" t="n">
        <v>0</v>
      </c>
      <c r="D22" s="21" t="n">
        <v>10</v>
      </c>
      <c r="E22" s="21" t="n">
        <v>2</v>
      </c>
      <c r="F22" s="41" t="n">
        <v>124.8</v>
      </c>
    </row>
    <row r="23">
      <c r="A23" s="10" t="inlineStr">
        <is>
          <t>Histosols</t>
        </is>
      </c>
      <c r="B23" s="21" t="n">
        <v>80</v>
      </c>
      <c r="C23" s="21" t="n">
        <v>70</v>
      </c>
      <c r="D23" s="21" t="n">
        <v>5</v>
      </c>
      <c r="E23" s="21" t="n">
        <v>2</v>
      </c>
      <c r="F23" s="41" t="n">
        <v>51.6</v>
      </c>
    </row>
    <row r="24">
      <c r="A24" s="10" t="inlineStr">
        <is>
          <t>Spodosols</t>
        </is>
      </c>
      <c r="B24" s="21" t="n">
        <v>0</v>
      </c>
      <c r="C24" s="21" t="n">
        <v>0</v>
      </c>
      <c r="D24" s="21" t="n">
        <v>10</v>
      </c>
      <c r="E24" s="21" t="n">
        <v>1</v>
      </c>
      <c r="F24" s="41" t="n">
        <v>124.8</v>
      </c>
    </row>
    <row r="26">
      <c r="A26" s="3" t="inlineStr">
        <is>
          <t>PKSA AGRONOMIC VALUE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7" t="inlineStr">
        <is>
          <t>PKSA Synthetic Replacement Value</t>
        </is>
      </c>
      <c r="B27" s="41" t="n">
        <v>129.82</v>
      </c>
      <c r="C27" s="2" t="inlineStr">
        <is>
          <t>$/t</t>
        </is>
      </c>
      <c r="D27" s="2" t="inlineStr">
        <is>
          <t>At $0 mill-gate cost (Guardrail 3)</t>
        </is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D4A017"/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30" customWidth="1" min="4" max="4"/>
  </cols>
  <sheetData>
    <row r="1">
      <c r="A1" s="8" t="inlineStr">
        <is>
          <t>CAPEX &amp; OPEX ANALYSIS</t>
        </is>
      </c>
    </row>
    <row r="3">
      <c r="A3" s="3" t="inlineStr">
        <is>
          <t>CAPITAL EXPENDITURE (CAPEX)</t>
        </is>
      </c>
      <c r="B3" s="3" t="n"/>
      <c r="C3" s="3" t="n"/>
      <c r="D3" s="3" t="n"/>
    </row>
    <row r="4">
      <c r="A4" s="9" t="inlineStr">
        <is>
          <t>Equipment / Item</t>
        </is>
      </c>
      <c r="B4" s="9" t="inlineStr">
        <is>
          <t>Estimated Cost (USD)</t>
        </is>
      </c>
      <c r="C4" s="9" t="inlineStr">
        <is>
          <t>Category</t>
        </is>
      </c>
    </row>
    <row r="5">
      <c r="A5" s="10" t="inlineStr">
        <is>
          <t>Stage 1 — Shredder (EFB)</t>
        </is>
      </c>
      <c r="B5" s="46" t="n">
        <v>85000</v>
      </c>
      <c r="C5" s="10" t="inlineStr">
        <is>
          <t>Stage 1</t>
        </is>
      </c>
    </row>
    <row r="6">
      <c r="A6" s="10" t="inlineStr">
        <is>
          <t>Stage 1 — Hammer mill</t>
        </is>
      </c>
      <c r="B6" s="46" t="n">
        <v>45000</v>
      </c>
      <c r="C6" s="10" t="inlineStr">
        <is>
          <t>Stage 1</t>
        </is>
      </c>
    </row>
    <row r="7">
      <c r="A7" s="10" t="inlineStr">
        <is>
          <t>Stage 1 — Mixing tank + conveyor</t>
        </is>
      </c>
      <c r="B7" s="46" t="n">
        <v>35000</v>
      </c>
      <c r="C7" s="10" t="inlineStr">
        <is>
          <t>Stage 1</t>
        </is>
      </c>
    </row>
    <row r="8">
      <c r="A8" s="10" t="inlineStr">
        <is>
          <t>Stage 1 — PKSA soaking vessel</t>
        </is>
      </c>
      <c r="B8" s="46" t="n">
        <v>15000</v>
      </c>
      <c r="C8" s="10" t="inlineStr">
        <is>
          <t>Stage 1</t>
        </is>
      </c>
    </row>
    <row r="9">
      <c r="A9" s="10" t="inlineStr">
        <is>
          <t>Stage 2 — Chemical dosing system</t>
        </is>
      </c>
      <c r="B9" s="46" t="n">
        <v>20000</v>
      </c>
      <c r="C9" s="10" t="inlineStr">
        <is>
          <t>Stage 2</t>
        </is>
      </c>
    </row>
    <row r="10">
      <c r="A10" s="10" t="inlineStr">
        <is>
          <t>Stage 2 — Neutralisation tank</t>
        </is>
      </c>
      <c r="B10" s="46" t="n">
        <v>25000</v>
      </c>
      <c r="C10" s="10" t="inlineStr">
        <is>
          <t>Stage 2</t>
        </is>
      </c>
    </row>
    <row r="11">
      <c r="A11" s="10" t="inlineStr">
        <is>
          <t>Stage 3 — Biological inoculation system</t>
        </is>
      </c>
      <c r="B11" s="46" t="n">
        <v>18000</v>
      </c>
      <c r="C11" s="10" t="inlineStr">
        <is>
          <t>Stage 3</t>
        </is>
      </c>
    </row>
    <row r="12">
      <c r="A12" s="10" t="inlineStr">
        <is>
          <t>Stage 3 — Composting area (covered)</t>
        </is>
      </c>
      <c r="B12" s="46" t="n">
        <v>40000</v>
      </c>
      <c r="C12" s="10" t="inlineStr">
        <is>
          <t>Stage 3</t>
        </is>
      </c>
    </row>
    <row r="13">
      <c r="A13" s="10" t="inlineStr">
        <is>
          <t>Stage 4 — BSF rearing shed (per 500m2)</t>
        </is>
      </c>
      <c r="B13" s="46" t="n">
        <v>60000</v>
      </c>
      <c r="C13" s="10" t="inlineStr">
        <is>
          <t>Stage 4</t>
        </is>
      </c>
    </row>
    <row r="14">
      <c r="A14" s="10" t="inlineStr">
        <is>
          <t>Stage 4 — BSF neonate nursery</t>
        </is>
      </c>
      <c r="B14" s="46" t="n">
        <v>25000</v>
      </c>
      <c r="C14" s="10" t="inlineStr">
        <is>
          <t>Stage 4</t>
        </is>
      </c>
    </row>
    <row r="15">
      <c r="A15" s="10" t="inlineStr">
        <is>
          <t>Stage 4 — Climate control system</t>
        </is>
      </c>
      <c r="B15" s="46" t="n">
        <v>35000</v>
      </c>
      <c r="C15" s="10" t="inlineStr">
        <is>
          <t>Stage 4</t>
        </is>
      </c>
    </row>
    <row r="16">
      <c r="A16" s="10" t="inlineStr">
        <is>
          <t>Stage 5A — Frass screening/bagging</t>
        </is>
      </c>
      <c r="B16" s="46" t="n">
        <v>20000</v>
      </c>
      <c r="C16" s="10" t="inlineStr">
        <is>
          <t>Stage 5A</t>
        </is>
      </c>
    </row>
    <row r="17">
      <c r="A17" s="10" t="inlineStr">
        <is>
          <t>Stage 5B — Larvae separation equipment</t>
        </is>
      </c>
      <c r="B17" s="46" t="n">
        <v>30000</v>
      </c>
      <c r="C17" s="10" t="inlineStr">
        <is>
          <t>Stage 5B</t>
        </is>
      </c>
    </row>
    <row r="18">
      <c r="A18" s="10" t="inlineStr">
        <is>
          <t>Stage 5B — Oil press</t>
        </is>
      </c>
      <c r="B18" s="46" t="n">
        <v>45000</v>
      </c>
      <c r="C18" s="10" t="inlineStr">
        <is>
          <t>Stage 5B</t>
        </is>
      </c>
    </row>
    <row r="19">
      <c r="A19" s="10" t="inlineStr">
        <is>
          <t>Stage 5B — Drying system</t>
        </is>
      </c>
      <c r="B19" s="46" t="n">
        <v>40000</v>
      </c>
      <c r="C19" s="10" t="inlineStr">
        <is>
          <t>Stage 5B</t>
        </is>
      </c>
    </row>
    <row r="20">
      <c r="A20" s="10" t="inlineStr">
        <is>
          <t>Utilities — Water treatment</t>
        </is>
      </c>
      <c r="B20" s="46" t="n">
        <v>25000</v>
      </c>
      <c r="C20" s="10" t="inlineStr">
        <is>
          <t>Utilities</t>
        </is>
      </c>
    </row>
    <row r="21">
      <c r="A21" s="10" t="inlineStr">
        <is>
          <t>Utilities — Electrical infrastructure</t>
        </is>
      </c>
      <c r="B21" s="46" t="n">
        <v>30000</v>
      </c>
      <c r="C21" s="10" t="inlineStr">
        <is>
          <t>Utilities</t>
        </is>
      </c>
    </row>
    <row r="22">
      <c r="A22" s="10" t="inlineStr">
        <is>
          <t>Laboratory — Basic QC lab</t>
        </is>
      </c>
      <c r="B22" s="46" t="n">
        <v>35000</v>
      </c>
      <c r="C22" s="10" t="inlineStr">
        <is>
          <t>Laboratory</t>
        </is>
      </c>
    </row>
    <row r="23">
      <c r="A23" s="38" t="inlineStr">
        <is>
          <t>TOTAL CAPEX</t>
        </is>
      </c>
      <c r="B23" s="51">
        <f>IFERROR(SUM(B5:B22),0)</f>
        <v/>
      </c>
    </row>
    <row r="25">
      <c r="A25" s="3" t="inlineStr">
        <is>
          <t>MONTHLY OPERATING EXPENDITURE (OPEX)</t>
        </is>
      </c>
      <c r="B25" s="3" t="n"/>
      <c r="C25" s="3" t="n"/>
      <c r="D25" s="3" t="n"/>
    </row>
    <row r="26">
      <c r="A26" s="9" t="inlineStr">
        <is>
          <t>Cost Item</t>
        </is>
      </c>
      <c r="B26" s="9" t="inlineStr">
        <is>
          <t>Monthly Cost (USD)</t>
        </is>
      </c>
      <c r="C26" s="9" t="inlineStr">
        <is>
          <t>Notes</t>
        </is>
      </c>
    </row>
    <row r="27">
      <c r="A27" s="10" t="inlineStr">
        <is>
          <t>Chemical Treatment</t>
        </is>
      </c>
      <c r="B27" s="22">
        <f>IFERROR(S2_Chemical_Treatment!B33,0)</f>
        <v/>
      </c>
      <c r="C27" s="2" t="inlineStr">
        <is>
          <t>From Stage 2</t>
        </is>
      </c>
    </row>
    <row r="28">
      <c r="A28" s="10" t="inlineStr">
        <is>
          <t>Biological Treatment</t>
        </is>
      </c>
      <c r="B28" s="22">
        <f>IFERROR(S3_Biological_Treatment!B33,0)</f>
        <v/>
      </c>
      <c r="C28" s="2" t="inlineStr">
        <is>
          <t>From Stage 3</t>
        </is>
      </c>
    </row>
    <row r="29">
      <c r="A29" s="10" t="inlineStr">
        <is>
          <t>BSF Neonates</t>
        </is>
      </c>
      <c r="B29" s="22">
        <f>IFERROR(S4_BSF_Rearing!B8,0)</f>
        <v/>
      </c>
      <c r="C29" s="2" t="inlineStr">
        <is>
          <t>From Stage 4</t>
        </is>
      </c>
    </row>
    <row r="30">
      <c r="A30" s="10" t="inlineStr">
        <is>
          <t>Processing (S5B)</t>
        </is>
      </c>
      <c r="B30" s="22">
        <f>IFERROR(S5B_BSF_Extraction!B29,0)</f>
        <v/>
      </c>
      <c r="C30" s="2" t="inlineStr">
        <is>
          <t>From Stage 5B</t>
        </is>
      </c>
    </row>
    <row r="31">
      <c r="A31" s="10" t="inlineStr">
        <is>
          <t>Energy / Utilities</t>
        </is>
      </c>
      <c r="B31" s="22">
        <f>IFERROR(S1_Preprocessing!B30,0)</f>
        <v/>
      </c>
      <c r="C31" s="2" t="inlineStr">
        <is>
          <t>From Stage 1</t>
        </is>
      </c>
    </row>
    <row r="32">
      <c r="A32" s="10" t="inlineStr">
        <is>
          <t>Labour (estimated)</t>
        </is>
      </c>
      <c r="B32" s="46" t="n">
        <v>8000</v>
      </c>
      <c r="C32" s="2" t="inlineStr">
        <is>
          <t>10 workers @ $800/month</t>
        </is>
      </c>
    </row>
    <row r="33">
      <c r="A33" s="10" t="inlineStr">
        <is>
          <t>Maintenance (2% CAPEX/month)</t>
        </is>
      </c>
      <c r="B33" s="22">
        <f>IFERROR(B23*0.02/12,0)</f>
        <v/>
      </c>
      <c r="C33" s="2" t="inlineStr">
        <is>
          <t>Industry standard</t>
        </is>
      </c>
    </row>
    <row r="34">
      <c r="A34" s="10" t="inlineStr">
        <is>
          <t>Quality Control / Lab</t>
        </is>
      </c>
      <c r="B34" s="46" t="n">
        <v>2000</v>
      </c>
      <c r="C34" s="2" t="inlineStr">
        <is>
          <t>Monthly QC testing</t>
        </is>
      </c>
    </row>
    <row r="35">
      <c r="A35" s="10" t="inlineStr">
        <is>
          <t>Transport / Logistics</t>
        </is>
      </c>
      <c r="B35" s="46" t="n">
        <v>3000</v>
      </c>
      <c r="C35" s="2" t="inlineStr">
        <is>
          <t>Product distribution</t>
        </is>
      </c>
    </row>
    <row r="36">
      <c r="A36" s="38" t="inlineStr">
        <is>
          <t>TOTAL MONTHLY OPEX</t>
        </is>
      </c>
      <c r="B36" s="52">
        <f>IFERROR(SUM(B27:B35),0)</f>
        <v/>
      </c>
    </row>
    <row r="38">
      <c r="A38" s="3" t="inlineStr">
        <is>
          <t>PAYBACK &amp; NPV ANALYSIS</t>
        </is>
      </c>
      <c r="B38" s="3" t="n"/>
      <c r="C38" s="3" t="n"/>
      <c r="D38" s="3" t="n"/>
    </row>
    <row r="39">
      <c r="A39" s="4" t="inlineStr">
        <is>
          <t>Total CAPEX</t>
        </is>
      </c>
      <c r="B39" s="22">
        <f>B23</f>
        <v/>
      </c>
    </row>
    <row r="40">
      <c r="A40" s="4" t="inlineStr">
        <is>
          <t>Monthly Gross Profit</t>
        </is>
      </c>
      <c r="B40" s="22">
        <f>IFERROR(Summary_Dashboard!B24-B36,0)</f>
        <v/>
      </c>
    </row>
    <row r="41">
      <c r="A41" s="38" t="inlineStr">
        <is>
          <t>Payback Period (months)</t>
        </is>
      </c>
      <c r="B41" s="42">
        <f>IFERROR(B39/B40,0)</f>
        <v/>
      </c>
    </row>
    <row r="42">
      <c r="A42" s="4" t="inlineStr">
        <is>
          <t>Payback Period (years)</t>
        </is>
      </c>
      <c r="B42" s="13">
        <f>IFERROR(B41/12,0)</f>
        <v/>
      </c>
    </row>
    <row r="44">
      <c r="A44" s="4" t="inlineStr">
        <is>
          <t>IRR Discount Rate (user-adjustable)</t>
        </is>
      </c>
      <c r="B44" s="53" t="n">
        <v>0.12</v>
      </c>
    </row>
    <row r="45">
      <c r="A45" s="4" t="inlineStr">
        <is>
          <t>Annual Net Cash Flow</t>
        </is>
      </c>
      <c r="B45" s="22">
        <f>IFERROR(B40*12,0)</f>
        <v/>
      </c>
    </row>
    <row r="46">
      <c r="A46" s="7" t="inlineStr">
        <is>
          <t>5-Year NPV (simple estimate)</t>
        </is>
      </c>
      <c r="B46" s="30">
        <f>IFERROR(B45/(1+B44)^1+B45/(1+B44)^2+B45/(1+B44)^3+B45/(1+B44)^4+B45/(1+B44)^5-B39,0)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2026-04-08T22:33:51Z</dcterms:created>
  <dcterms:modified xsi:type="dcterms:W3CDTF">2026-04-08T22:33:51Z</dcterms:modified>
</cp:coreProperties>
</file>