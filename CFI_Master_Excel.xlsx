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0_Waste_Streams" sheetId="2" state="visible" r:id="rId2"/>
    <sheet name="S0_Lab_Analysis" sheetId="3" state="visible" r:id="rId3"/>
    <sheet name="S1_Preprocessing" sheetId="4" state="visible" r:id="rId4"/>
    <sheet name="S1_Lab_Analysis" sheetId="5" state="visible" r:id="rId5"/>
    <sheet name="S2_Chemical_Treatment" sheetId="6" state="visible" r:id="rId6"/>
    <sheet name="S2_Chemical_Library" sheetId="7" state="visible" r:id="rId7"/>
    <sheet name="S3_Biological_Treatment" sheetId="8" state="visible" r:id="rId8"/>
    <sheet name="S3_Biological_Library" sheetId="9" state="visible" r:id="rId9"/>
    <sheet name="S4_BSF_Rearing" sheetId="10" state="visible" r:id="rId10"/>
    <sheet name="S4_BSF_Lab" sheetId="11" state="visible" r:id="rId11"/>
    <sheet name="S5A_Frass_Pathway" sheetId="12" state="visible" r:id="rId12"/>
    <sheet name="S5B_BSF_Extraction" sheetId="13" state="visible" r:id="rId13"/>
    <sheet name="S6_Product_Valuation" sheetId="14" state="visible" r:id="rId14"/>
    <sheet name="Summary_Dashboard" sheetId="15" state="visible" r:id="rId15"/>
    <sheet name="Soil_Fertiliser_Matrix" sheetId="16" state="visible" r:id="rId16"/>
    <sheet name="CAPEX_OPEX" sheetId="17" state="visible" r:id="rId17"/>
  </sheets>
  <definedNames>
    <definedName name="blend_efb_pct">INPUTS!$B$9</definedName>
    <definedName name="blend_opdc_pct">INPUTS!$B$10</definedName>
    <definedName name="ffb_tph">INPUTS!$B$4</definedName>
    <definedName name="op_hours">INPUTS!$B$5</definedName>
    <definedName name="op_days">INPUTS!$B$6</definedName>
    <definedName name="pksa_dose">INPUTS!$B$17</definedName>
    <definedName name="grow_days">INPUTS!$B$30</definedName>
    <definedName name="bsf_area">INPUTS!$B$29</definedName>
    <definedName name="cert_tier">INPUTS!$B$33</definedName>
    <definedName name="bsf_density">INPUTS!$B$28</definedName>
    <definedName name="soil_type">INPUTS!$B$34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0.000"/>
    <numFmt numFmtId="167" formatCode="$#,##0"/>
    <numFmt numFmtId="168" formatCode="$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i val="1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1"/>
    </font>
    <font>
      <b val="1"/>
    </font>
    <font>
      <b val="1"/>
      <color rgb="00FFFFFF"/>
      <sz val="14"/>
    </font>
    <font>
      <b val="1"/>
      <sz val="11"/>
    </font>
    <font>
      <name val="Calibri"/>
      <b val="1"/>
      <color rgb="00006400"/>
      <sz val="10"/>
    </font>
    <font>
      <b val="1"/>
      <color rgb="00FF0000"/>
    </font>
    <font>
      <b val="1"/>
      <sz val="14"/>
    </font>
    <font>
      <b val="1"/>
      <sz val="12"/>
    </font>
    <font>
      <b val="1"/>
      <color rgb="00006400"/>
      <sz val="12"/>
    </font>
    <font>
      <i val="1"/>
      <color rgb="00FF0000"/>
      <sz val="9"/>
    </font>
    <font>
      <sz val="9"/>
    </font>
    <font>
      <b val="1"/>
      <color rgb="00006400"/>
      <sz val="9"/>
    </font>
    <font>
      <b val="1"/>
      <color rgb="00FF0000"/>
      <sz val="12"/>
    </font>
  </fonts>
  <fills count="7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D6A6A"/>
        <bgColor rgb="002D6A6A"/>
      </patternFill>
    </fill>
    <fill>
      <patternFill patternType="solid">
        <fgColor rgb="00FFF3CD"/>
        <bgColor rgb="00FFF3CD"/>
      </patternFill>
    </fill>
    <fill>
      <patternFill patternType="solid">
        <fgColor rgb="00F0F4F8"/>
        <bgColor rgb="00F0F4F8"/>
      </patternFill>
    </fill>
    <fill>
      <patternFill patternType="solid">
        <fgColor rgb="00FF4444"/>
        <bgColor rgb="00FF444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0" fillId="0" borderId="1" pivotButton="0" quotePrefix="0" xfId="0"/>
    <xf numFmtId="2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0" fillId="0" borderId="1" pivotButton="0" quotePrefix="0" xfId="0"/>
    <xf numFmtId="0" fontId="8" fillId="0" borderId="0" pivotButton="0" quotePrefix="0" xfId="0"/>
    <xf numFmtId="164" fontId="9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167" fontId="4" fillId="5" borderId="1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7" fontId="9" fillId="5" borderId="1" applyAlignment="1" pivotButton="0" quotePrefix="0" xfId="0">
      <alignment horizontal="right" vertical="center"/>
    </xf>
    <xf numFmtId="168" fontId="4" fillId="0" borderId="1" pivotButton="0" quotePrefix="0" xfId="0"/>
    <xf numFmtId="165" fontId="4" fillId="0" borderId="1" pivotButton="0" quotePrefix="0" xfId="0"/>
    <xf numFmtId="0" fontId="3" fillId="6" borderId="1" pivotButton="0" quotePrefix="0" xfId="0"/>
    <xf numFmtId="168" fontId="3" fillId="6" borderId="1" pivotButton="0" quotePrefix="0" xfId="0"/>
    <xf numFmtId="165" fontId="3" fillId="6" borderId="1" pivotButton="0" quotePrefix="0" xfId="0"/>
    <xf numFmtId="0" fontId="6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2" fontId="9" fillId="5" borderId="1" applyAlignment="1" pivotButton="0" quotePrefix="0" xfId="0">
      <alignment horizontal="right" vertical="center"/>
    </xf>
    <xf numFmtId="168" fontId="0" fillId="0" borderId="1" pivotButton="0" quotePrefix="0" xfId="0"/>
    <xf numFmtId="164" fontId="13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7" fontId="13" fillId="5" borderId="1" applyAlignment="1" pivotButton="0" quotePrefix="0" xfId="0">
      <alignment horizontal="right" vertical="center"/>
    </xf>
    <xf numFmtId="167" fontId="17" fillId="5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6" fillId="0" borderId="0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CFI System</author>
  </authors>
  <commentList>
    <comment ref="D12" authorId="0" shapeId="0">
      <text>
        <t>No verified data for POS S%</t>
      </text>
    </comment>
    <comment ref="F12" authorId="0" shapeId="0">
      <text>
        <t>No verified data for PMF S%</t>
      </text>
    </comment>
    <comment ref="G12" authorId="0" shapeId="0">
      <text>
        <t>No verified data for POME S%</t>
      </text>
    </comment>
    <comment ref="H12" authorId="0" shapeId="0">
      <text>
        <t>No verified data for PKS S%</t>
      </text>
    </comment>
    <comment ref="I12" authorId="0" shapeId="0">
      <text>
        <t>No verified data for PPF S%</t>
      </text>
    </comment>
    <comment ref="J12" authorId="0" shapeId="0">
      <text>
        <t>No verified data for Trunk S%</t>
      </text>
    </comment>
    <comment ref="K12" authorId="0" shapeId="0">
      <text>
        <t>No verified data for Frond S%</t>
      </text>
    </comment>
    <comment ref="L12" authorId="0" shapeId="0">
      <text>
        <t>No verified data for Sludge S%</t>
      </text>
    </comment>
    <comment ref="D13" authorId="0" shapeId="0">
      <text>
        <t>No verified data for POS Fe_ppm</t>
      </text>
    </comment>
    <comment ref="F13" authorId="0" shapeId="0">
      <text>
        <t>No verified data for PMF Fe_ppm</t>
      </text>
    </comment>
    <comment ref="G13" authorId="0" shapeId="0">
      <text>
        <t>No verified data for POME Fe_ppm</t>
      </text>
    </comment>
    <comment ref="H13" authorId="0" shapeId="0">
      <text>
        <t>No verified data for PKS Fe_ppm</t>
      </text>
    </comment>
    <comment ref="I13" authorId="0" shapeId="0">
      <text>
        <t>No verified data for PPF Fe_ppm</t>
      </text>
    </comment>
    <comment ref="J13" authorId="0" shapeId="0">
      <text>
        <t>No verified data for Trunk Fe_ppm</t>
      </text>
    </comment>
    <comment ref="K13" authorId="0" shapeId="0">
      <text>
        <t>No verified data for Frond Fe_ppm</t>
      </text>
    </comment>
    <comment ref="L13" authorId="0" shapeId="0">
      <text>
        <t>No verified data for Sludge Fe_ppm</t>
      </text>
    </comment>
    <comment ref="D14" authorId="0" shapeId="0">
      <text>
        <t>No verified data for POS Zn_ppm</t>
      </text>
    </comment>
    <comment ref="F14" authorId="0" shapeId="0">
      <text>
        <t>No verified data for PMF Zn_ppm</t>
      </text>
    </comment>
    <comment ref="G14" authorId="0" shapeId="0">
      <text>
        <t>No verified data for POME Zn_ppm</t>
      </text>
    </comment>
    <comment ref="H14" authorId="0" shapeId="0">
      <text>
        <t>No verified data for PKS Zn_ppm</t>
      </text>
    </comment>
    <comment ref="I14" authorId="0" shapeId="0">
      <text>
        <t>No verified data for PPF Zn_ppm</t>
      </text>
    </comment>
    <comment ref="J14" authorId="0" shapeId="0">
      <text>
        <t>No verified data for Trunk Zn_ppm</t>
      </text>
    </comment>
    <comment ref="K14" authorId="0" shapeId="0">
      <text>
        <t>No verified data for Frond Zn_ppm</t>
      </text>
    </comment>
    <comment ref="L14" authorId="0" shapeId="0">
      <text>
        <t>No verified data for Sludge Zn_ppm</t>
      </text>
    </comment>
    <comment ref="D15" authorId="0" shapeId="0">
      <text>
        <t>No verified data for POS Cu_ppm</t>
      </text>
    </comment>
    <comment ref="F15" authorId="0" shapeId="0">
      <text>
        <t>No verified data for PMF Cu_ppm</t>
      </text>
    </comment>
    <comment ref="G15" authorId="0" shapeId="0">
      <text>
        <t>No verified data for POME Cu_ppm</t>
      </text>
    </comment>
    <comment ref="H15" authorId="0" shapeId="0">
      <text>
        <t>No verified data for PKS Cu_ppm</t>
      </text>
    </comment>
    <comment ref="I15" authorId="0" shapeId="0">
      <text>
        <t>No verified data for PPF Cu_ppm</t>
      </text>
    </comment>
    <comment ref="J15" authorId="0" shapeId="0">
      <text>
        <t>No verified data for Trunk Cu_ppm</t>
      </text>
    </comment>
    <comment ref="K15" authorId="0" shapeId="0">
      <text>
        <t>No verified data for Frond Cu_ppm</t>
      </text>
    </comment>
    <comment ref="L15" authorId="0" shapeId="0">
      <text>
        <t>No verified data for Sludge Cu_ppm</t>
      </text>
    </comment>
    <comment ref="D16" authorId="0" shapeId="0">
      <text>
        <t>No verified data for POS Mn_ppm</t>
      </text>
    </comment>
    <comment ref="F16" authorId="0" shapeId="0">
      <text>
        <t>No verified data for PMF Mn_ppm</t>
      </text>
    </comment>
    <comment ref="G16" authorId="0" shapeId="0">
      <text>
        <t>No verified data for POME Mn_ppm</t>
      </text>
    </comment>
    <comment ref="H16" authorId="0" shapeId="0">
      <text>
        <t>No verified data for PKS Mn_ppm</t>
      </text>
    </comment>
    <comment ref="I16" authorId="0" shapeId="0">
      <text>
        <t>No verified data for PPF Mn_ppm</t>
      </text>
    </comment>
    <comment ref="J16" authorId="0" shapeId="0">
      <text>
        <t>No verified data for Trunk Mn_ppm</t>
      </text>
    </comment>
    <comment ref="K16" authorId="0" shapeId="0">
      <text>
        <t>No verified data for Frond Mn_ppm</t>
      </text>
    </comment>
    <comment ref="L16" authorId="0" shapeId="0">
      <text>
        <t>No verified data for Sludge Mn_ppm</t>
      </text>
    </comment>
    <comment ref="D17" authorId="0" shapeId="0">
      <text>
        <t>No verified data for POS B_ppm</t>
      </text>
    </comment>
    <comment ref="F17" authorId="0" shapeId="0">
      <text>
        <t>No verified data for PMF B_ppm</t>
      </text>
    </comment>
    <comment ref="G17" authorId="0" shapeId="0">
      <text>
        <t>No verified data for POME B_ppm</t>
      </text>
    </comment>
    <comment ref="H17" authorId="0" shapeId="0">
      <text>
        <t>No verified data for PKS B_ppm</t>
      </text>
    </comment>
    <comment ref="I17" authorId="0" shapeId="0">
      <text>
        <t>No verified data for PPF B_ppm</t>
      </text>
    </comment>
    <comment ref="J17" authorId="0" shapeId="0">
      <text>
        <t>No verified data for Trunk B_ppm</t>
      </text>
    </comment>
    <comment ref="K17" authorId="0" shapeId="0">
      <text>
        <t>No verified data for Frond B_ppm</t>
      </text>
    </comment>
    <comment ref="L17" authorId="0" shapeId="0">
      <text>
        <t>No verified data for Sludge B_ppm</t>
      </text>
    </comment>
  </commentList>
</comments>
</file>

<file path=xl/comments/comment2.xml><?xml version="1.0" encoding="utf-8"?>
<comments xmlns="http://schemas.openxmlformats.org/spreadsheetml/2006/main">
  <authors>
    <author>CFI System</author>
  </authors>
  <commentList>
    <comment ref="B17" authorId="0" shapeId="0">
      <text>
        <t>PKSA cost = $0 at mill gate (Guardrail 3)</t>
      </text>
    </comment>
  </commentList>
</comments>
</file>

<file path=xl/comments/comment3.xml><?xml version="1.0" encoding="utf-8"?>
<comments xmlns="http://schemas.openxmlformats.org/spreadsheetml/2006/main">
  <authors>
    <author>Dr. Karim Hassan</author>
  </authors>
  <commentList>
    <comment ref="C5" authorId="0" shapeId="0">
      <text>
        <t>pH rises to 10-12 after PKSA soaking</t>
      </text>
    </comment>
  </commentList>
</comments>
</file>

<file path=xl/comments/comment4.xml><?xml version="1.0" encoding="utf-8"?>
<comments xmlns="http://schemas.openxmlformats.org/spreadsheetml/2006/main">
  <authors>
    <author>CFI System</author>
    <author>CFI System — Guardrail 2</author>
  </authors>
  <commentList>
    <comment ref="E4" authorId="0" shapeId="0">
      <text>
        <t>PKSA mill-gate cost is ALWAYS $0 (Guardrail 3)</t>
      </text>
    </comment>
    <comment ref="A14" authorId="1" shapeId="0">
      <text>
        <t>ALERT: NaOH selected. Caustic soda requires full PPE (gloves, goggles, face shield). Risk of substrate over-alkalisation above pH 13. Neutralise fully before BSF inoculation. PKSA is the safer zero-cost alternative.</t>
      </text>
    </comment>
  </commentList>
</comments>
</file>

<file path=xl/comments/comment5.xml><?xml version="1.0" encoding="utf-8"?>
<comments xmlns="http://schemas.openxmlformats.org/spreadsheetml/2006/main">
  <authors>
    <author>Mr. Budi Santoso</author>
  </authors>
  <commentList>
    <comment ref="B31" authorId="0" shapeId="0">
      <text>
        <t>Default best-5 consortium cost: $5.40/t</t>
      </text>
    </comment>
  </commentList>
</comments>
</file>

<file path=xl/comments/comment6.xml><?xml version="1.0" encoding="utf-8"?>
<comments xmlns="http://schemas.openxmlformats.org/spreadsheetml/2006/main">
  <authors>
    <author>CFI System — Guardrail 1</author>
  </authors>
  <commentList>
    <comment ref="A12" authorId="0" shapeId="0">
      <text>
        <t>ALERT: Bt selected. Bacillus thuringiensis is an entomopathogen. Confirm BSF larval safety protocol before use. Not recommended for active BSF rearing trays.</t>
      </text>
    </comment>
    <comment ref="A13" authorId="0" shapeId="0">
      <text>
        <t>ALERT: Beauveria bassiana is an entomopathogen. RISK of BSF larval mortality. Do NOT use on active BSF rearing trays.</t>
      </text>
    </comment>
  </commentList>
</comments>
</file>

<file path=xl/comments/comment7.xml><?xml version="1.0" encoding="utf-8"?>
<comments xmlns="http://schemas.openxmlformats.org/spreadsheetml/2006/main">
  <authors>
    <author>Mr. Budi Santoso</author>
  </authors>
  <commentList>
    <comment ref="B22" authorId="0" shapeId="0">
      <text>
        <t>Formula: Day6_yield + (grow_days-6)/12 * (Day18_yield - Day6_yield)</t>
      </text>
    </comment>
    <comment ref="B34" authorId="0" shapeId="0">
      <text>
        <t>Frass = substrate - (BSF_FW_yield * 1.15) per tonne</t>
      </text>
    </comment>
  </commentList>
</comments>
</file>

<file path=xl/comments/comment8.xml><?xml version="1.0" encoding="utf-8"?>
<comments xmlns="http://schemas.openxmlformats.org/spreadsheetml/2006/main">
  <authors>
    <author>Dr. Sarah Lim</author>
  </authors>
  <commentList>
    <comment ref="B6" authorId="0" shapeId="0">
      <text>
        <t>Frass = substrate * (1000 - BSF_FW * 1.15) / 1000 kg/t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D4A017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12" customWidth="1" min="3" max="3"/>
    <col width="30" customWidth="1" min="4" max="4"/>
    <col width="40" customWidth="1" min="5" max="5"/>
  </cols>
  <sheetData>
    <row r="1">
      <c r="A1" s="1" t="inlineStr">
        <is>
          <t>CFI MASTER CALCULATOR — INPUT PARAMETERS</t>
        </is>
      </c>
    </row>
    <row r="2">
      <c r="A2" s="2" t="inlineStr">
        <is>
          <t>All yellow cells are user-editable. Changes propagate to all tabs.</t>
        </is>
      </c>
    </row>
    <row r="3">
      <c r="A3" s="3" t="inlineStr">
        <is>
          <t>MILL PARAMETERS</t>
        </is>
      </c>
      <c r="B3" s="3" t="n"/>
      <c r="C3" s="3" t="n"/>
      <c r="D3" s="3" t="n"/>
      <c r="E3" s="3" t="n"/>
    </row>
    <row r="4">
      <c r="A4" s="4" t="inlineStr">
        <is>
          <t>FFB Throughput (TPH)</t>
        </is>
      </c>
      <c r="B4" s="5" t="n">
        <v>60</v>
      </c>
      <c r="C4" s="2" t="inlineStr">
        <is>
          <t>tonnes per hour Fresh Fruit Bunch</t>
        </is>
      </c>
    </row>
    <row r="5">
      <c r="A5" s="4" t="inlineStr">
        <is>
          <t>Operating Hours / Day</t>
        </is>
      </c>
      <c r="B5" s="5" t="n">
        <v>20</v>
      </c>
      <c r="C5" s="2" t="inlineStr">
        <is>
          <t>hours</t>
        </is>
      </c>
    </row>
    <row r="6">
      <c r="A6" s="4" t="inlineStr">
        <is>
          <t>Operating Days / Month</t>
        </is>
      </c>
      <c r="B6" s="5" t="n">
        <v>25</v>
      </c>
      <c r="C6" s="2" t="inlineStr">
        <is>
          <t>days</t>
        </is>
      </c>
    </row>
    <row r="7">
      <c r="A7" s="4" t="inlineStr">
        <is>
          <t>FFB tonnes/day (calculated)</t>
        </is>
      </c>
      <c r="B7" s="6">
        <f>IFERROR(INPUTS!$B$4*INPUTS!$B$5,0)</f>
        <v/>
      </c>
      <c r="C7" s="2" t="inlineStr">
        <is>
          <t>t/day</t>
        </is>
      </c>
    </row>
    <row r="8">
      <c r="A8" s="3" t="inlineStr">
        <is>
          <t>BLEND COMPOSITION (must sum to 100%)</t>
        </is>
      </c>
      <c r="B8" s="3" t="n"/>
      <c r="C8" s="3" t="n"/>
      <c r="D8" s="3" t="n"/>
      <c r="E8" s="3" t="n"/>
    </row>
    <row r="9">
      <c r="A9" s="4" t="inlineStr">
        <is>
          <t>EFB %</t>
        </is>
      </c>
      <c r="B9" s="5" t="n">
        <v>60</v>
      </c>
      <c r="C9" s="2" t="inlineStr">
        <is>
          <t>%</t>
        </is>
      </c>
    </row>
    <row r="10">
      <c r="A10" s="4" t="inlineStr">
        <is>
          <t>OPDC %</t>
        </is>
      </c>
      <c r="B10" s="5" t="n">
        <v>40</v>
      </c>
      <c r="C10" s="2" t="inlineStr">
        <is>
          <t>%</t>
        </is>
      </c>
    </row>
    <row r="11">
      <c r="A11" s="4" t="inlineStr">
        <is>
          <t>Residue 3 %</t>
        </is>
      </c>
      <c r="B11" s="5" t="n">
        <v>0</v>
      </c>
      <c r="C11" s="2" t="inlineStr">
        <is>
          <t>%</t>
        </is>
      </c>
      <c r="D11" s="5" t="inlineStr"/>
      <c r="E11" s="2" t="inlineStr">
        <is>
          <t>(select from dropdown)</t>
        </is>
      </c>
    </row>
    <row r="12">
      <c r="A12" s="4" t="inlineStr">
        <is>
          <t>Residue 4 %</t>
        </is>
      </c>
      <c r="B12" s="5" t="n">
        <v>0</v>
      </c>
      <c r="C12" s="2" t="inlineStr">
        <is>
          <t>%</t>
        </is>
      </c>
      <c r="D12" s="5" t="inlineStr"/>
      <c r="E12" s="2" t="inlineStr">
        <is>
          <t>(select from dropdown)</t>
        </is>
      </c>
    </row>
    <row r="13">
      <c r="A13" s="4" t="inlineStr">
        <is>
          <t>Residue 5 %</t>
        </is>
      </c>
      <c r="B13" s="5" t="n">
        <v>0</v>
      </c>
      <c r="C13" s="2" t="inlineStr">
        <is>
          <t>%</t>
        </is>
      </c>
      <c r="D13" s="5" t="inlineStr"/>
      <c r="E13" s="2" t="inlineStr">
        <is>
          <t>(select from dropdown)</t>
        </is>
      </c>
    </row>
    <row r="14">
      <c r="A14" s="7" t="inlineStr">
        <is>
          <t>Blend Total (must = 100%)</t>
        </is>
      </c>
      <c r="B14" s="6">
        <f>IFERROR(SUM($B$9:$B$13),0)</f>
        <v/>
      </c>
      <c r="C14">
        <f>IF(B14=100,"OK","ERROR: blend must = 100%")</f>
        <v/>
      </c>
    </row>
    <row r="15">
      <c r="A15" s="3" t="inlineStr">
        <is>
          <t>STAGE 2 — CHEMICAL TREATMENT</t>
        </is>
      </c>
      <c r="B15" s="3" t="n"/>
      <c r="C15" s="3" t="n"/>
      <c r="D15" s="3" t="n"/>
      <c r="E15" s="3" t="n"/>
    </row>
    <row r="16">
      <c r="A16" s="4" t="inlineStr">
        <is>
          <t>Chemical Selection</t>
        </is>
      </c>
      <c r="B16" s="5" t="inlineStr">
        <is>
          <t>PKSA</t>
        </is>
      </c>
    </row>
    <row r="17">
      <c r="A17" s="4" t="inlineStr">
        <is>
          <t>PKSA Dose (kg/t substrate)</t>
        </is>
      </c>
      <c r="B17" s="5" t="n">
        <v>8</v>
      </c>
      <c r="C17" s="2" t="inlineStr">
        <is>
          <t>kg/t</t>
        </is>
      </c>
    </row>
    <row r="18">
      <c r="A18" s="4" t="inlineStr">
        <is>
          <t>Chemical Cost ($/t substrate)</t>
        </is>
      </c>
      <c r="B18" s="6">
        <f>IFERROR(VLOOKUP($B$16,S2_Chemical_Library!$A$3:$H$20,5,FALSE),0)</f>
        <v/>
      </c>
      <c r="C18" s="2" t="inlineStr">
        <is>
          <t>$/t</t>
        </is>
      </c>
    </row>
    <row r="19">
      <c r="A19" s="3" t="inlineStr">
        <is>
          <t>STAGE 3 — BIOLOGICAL TREATMENT</t>
        </is>
      </c>
      <c r="B19" s="3" t="n"/>
      <c r="C19" s="3" t="n"/>
      <c r="D19" s="3" t="n"/>
      <c r="E19" s="3" t="n"/>
    </row>
    <row r="20">
      <c r="A20" s="4" t="inlineStr">
        <is>
          <t>Consortium Selection</t>
        </is>
      </c>
      <c r="B20" s="5" t="inlineStr">
        <is>
          <t>Best 5 (Provibio + EM4)</t>
        </is>
      </c>
    </row>
    <row r="21">
      <c r="A21" s="4" t="inlineStr">
        <is>
          <t xml:space="preserve">  Organism 1</t>
        </is>
      </c>
      <c r="B21" s="5" t="inlineStr">
        <is>
          <t>Lactobacillus spp.</t>
        </is>
      </c>
    </row>
    <row r="22">
      <c r="A22" s="4" t="inlineStr">
        <is>
          <t xml:space="preserve">  Organism 2</t>
        </is>
      </c>
      <c r="B22" s="5" t="inlineStr">
        <is>
          <t>Saccharomyces cerevisiae</t>
        </is>
      </c>
    </row>
    <row r="23">
      <c r="A23" s="4" t="inlineStr">
        <is>
          <t xml:space="preserve">  Organism 3</t>
        </is>
      </c>
      <c r="B23" s="5" t="inlineStr">
        <is>
          <t>Bacillus subtilis</t>
        </is>
      </c>
    </row>
    <row r="24">
      <c r="A24" s="4" t="inlineStr">
        <is>
          <t xml:space="preserve">  Organism 4</t>
        </is>
      </c>
      <c r="B24" s="5" t="inlineStr">
        <is>
          <t>Bacillus amyloliquefaciens</t>
        </is>
      </c>
    </row>
    <row r="25">
      <c r="A25" s="4" t="inlineStr">
        <is>
          <t xml:space="preserve">  Organism 5</t>
        </is>
      </c>
      <c r="B25" s="5" t="inlineStr">
        <is>
          <t>Trichoderma harzianum</t>
        </is>
      </c>
    </row>
    <row r="26">
      <c r="A26" s="4" t="inlineStr">
        <is>
          <t>Bio Treatment Days (min 5)</t>
        </is>
      </c>
      <c r="B26" s="5" t="n">
        <v>5</v>
      </c>
    </row>
    <row r="27">
      <c r="A27" s="3" t="inlineStr">
        <is>
          <t>STAGE 4 — BSF REARING</t>
        </is>
      </c>
      <c r="B27" s="3" t="n"/>
      <c r="C27" s="3" t="n"/>
      <c r="D27" s="3" t="n"/>
      <c r="E27" s="3" t="n"/>
    </row>
    <row r="28">
      <c r="A28" s="4" t="inlineStr">
        <is>
          <t>Inoculation Density (neonates/m2)</t>
        </is>
      </c>
      <c r="B28" s="5" t="n">
        <v>5000</v>
      </c>
    </row>
    <row r="29">
      <c r="A29" s="4" t="inlineStr">
        <is>
          <t>BSF Rearing Area (m2)</t>
        </is>
      </c>
      <c r="B29" s="5" t="n">
        <v>1000</v>
      </c>
    </row>
    <row r="30">
      <c r="A30" s="4" t="inlineStr">
        <is>
          <t>Grow-out Days (6-18)</t>
        </is>
      </c>
      <c r="B30" s="5" t="n">
        <v>12</v>
      </c>
    </row>
    <row r="31">
      <c r="A31" s="4" t="inlineStr">
        <is>
          <t>Neonate Cost ($/1000 neonates)</t>
        </is>
      </c>
      <c r="B31" s="5" t="n">
        <v>0.01</v>
      </c>
    </row>
    <row r="32">
      <c r="A32" s="3" t="inlineStr">
        <is>
          <t>CERTIFICATION &amp; SOIL TARGET</t>
        </is>
      </c>
      <c r="B32" s="3" t="n"/>
      <c r="C32" s="3" t="n"/>
      <c r="D32" s="3" t="n"/>
      <c r="E32" s="3" t="n"/>
    </row>
    <row r="33">
      <c r="A33" s="4" t="inlineStr">
        <is>
          <t>Certification Tier</t>
        </is>
      </c>
      <c r="B33" s="5" t="inlineStr">
        <is>
          <t>None</t>
        </is>
      </c>
    </row>
    <row r="34">
      <c r="A34" s="4" t="inlineStr">
        <is>
          <t>Target Soil Type</t>
        </is>
      </c>
      <c r="B34" s="5" t="inlineStr">
        <is>
          <t>All</t>
        </is>
      </c>
    </row>
  </sheetData>
  <mergeCells count="1">
    <mergeCell ref="A1:E1"/>
  </mergeCells>
  <dataValidations count="8">
    <dataValidation sqref="D11 D12 D13" showDropDown="0" showInputMessage="0" showErrorMessage="0" allowBlank="1" error="Select a valid residue" type="list">
      <formula1>"EFB,OPDC,POS,PKSA,PMF,POME,PKS,PPF,Trunk,Frond,Sludge"</formula1>
    </dataValidation>
    <dataValidation sqref="B16" showDropDown="0" showInputMessage="0" showErrorMessage="0" allowBlank="0" error="Select a valid chemical" type="list">
      <formula1>"PKSA,CaCO3,H2O2,Urea,Lime Ca(OH)2,MgSO4,NPK 15-15-15,Molasses,PKSA+CaCO3,PKSA+H2O2+Urea,NaOH"</formula1>
    </dataValidation>
    <dataValidation sqref="B17" showDropDown="0" showInputMessage="0" showErrorMessage="0" allowBlank="0" error="Dose must be 6-10 kg/t" type="decimal" operator="between">
      <formula1>6</formula1>
      <formula2>10</formula2>
    </dataValidation>
    <dataValidation sqref="B21 B22 B23 B24 B25" showDropDown="0" showInputMessage="0" showErrorMessage="0" allowBlank="0" type="list">
      <formula1>"Lactobacillus spp.,Saccharomyces cerevisiae,Bacillus subtilis,Bacillus amyloliquefaciens,Trichoderma harzianum,Aspergillus niger,Pleurotus ostreatus,Phanerochaete chrysosporium,Bacillus thuringiensis,Beauveria bassiana"</formula1>
    </dataValidation>
    <dataValidation sqref="B20" showDropDown="0" showInputMessage="0" showErrorMessage="0" allowBlank="0" type="list">
      <formula1>"Best 5 (Provibio + EM4),Wave 1 Only,Wave 1 + Wave 2,Custom,None"</formula1>
    </dataValidation>
    <dataValidation sqref="B30" showDropDown="0" showInputMessage="0" showErrorMessage="0" allowBlank="0" error="Grow days must be 6-18" type="whole" operator="between">
      <formula1>6</formula1>
      <formula2>18</formula2>
    </dataValidation>
    <dataValidation sqref="B33" showDropDown="0" showInputMessage="0" showErrorMessage="0" allowBlank="0" type="list">
      <formula1>"None,FSSC 22000,ISO 22716"</formula1>
    </dataValidation>
    <dataValidation sqref="B34" showDropDown="0" showInputMessage="0" showErrorMessage="0" allowBlank="0" type="list">
      <formula1>"Inceptisols,Ultisols,Oxisols,Histosols,Spodosols,Andisols,All"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8" t="inlineStr">
        <is>
          <t>STAGE 0 — WASTE STREAM MASS BALANCE</t>
        </is>
      </c>
    </row>
    <row r="3">
      <c r="A3" s="9" t="inlineStr">
        <is>
          <t>Waste Stream</t>
        </is>
      </c>
      <c r="B3" s="9" t="inlineStr">
        <is>
          <t>Yield (% FFB)</t>
        </is>
      </c>
      <c r="C3" s="9" t="inlineStr">
        <is>
          <t>t/hr</t>
        </is>
      </c>
      <c r="D3" s="9" t="inlineStr">
        <is>
          <t>t/day</t>
        </is>
      </c>
      <c r="E3" s="9" t="inlineStr">
        <is>
          <t>t/month</t>
        </is>
      </c>
      <c r="F3" s="9" t="inlineStr">
        <is>
          <t>DM%</t>
        </is>
      </c>
      <c r="G3" s="9" t="inlineStr">
        <is>
          <t>DM t/month</t>
        </is>
      </c>
    </row>
    <row r="4">
      <c r="A4" s="10" t="inlineStr">
        <is>
          <t>EFB</t>
        </is>
      </c>
      <c r="B4" s="11" t="n">
        <v>0.23</v>
      </c>
      <c r="C4" s="12">
        <f>IFERROR(INPUTS!$B$4*B4,0)</f>
        <v/>
      </c>
      <c r="D4" s="12">
        <f>IFERROR(C4*INPUTS!$B$5,0)</f>
        <v/>
      </c>
      <c r="E4" s="13">
        <f>IFERROR(D4*INPUTS!$B$6,0)</f>
        <v/>
      </c>
      <c r="F4" s="14" t="n">
        <v>0.375</v>
      </c>
      <c r="G4" s="13">
        <f>IFERROR(E4*F4,0)</f>
        <v/>
      </c>
    </row>
    <row r="5">
      <c r="A5" s="10" t="inlineStr">
        <is>
          <t>OPDC</t>
        </is>
      </c>
      <c r="B5" s="11" t="n">
        <v>0.042</v>
      </c>
      <c r="C5" s="12">
        <f>IFERROR(INPUTS!$B$4*B5,0)</f>
        <v/>
      </c>
      <c r="D5" s="12">
        <f>IFERROR(C5*INPUTS!$B$5,0)</f>
        <v/>
      </c>
      <c r="E5" s="13">
        <f>IFERROR(D5*INPUTS!$B$6,0)</f>
        <v/>
      </c>
      <c r="F5" s="14" t="n">
        <v>0.3</v>
      </c>
      <c r="G5" s="13">
        <f>IFERROR(E5*F5,0)</f>
        <v/>
      </c>
    </row>
    <row r="6">
      <c r="A6" s="10" t="inlineStr">
        <is>
          <t>PKSA</t>
        </is>
      </c>
      <c r="B6" s="11" t="n">
        <v>0.008</v>
      </c>
      <c r="C6" s="12">
        <f>IFERROR(INPUTS!$B$4*B6,0)</f>
        <v/>
      </c>
      <c r="D6" s="12">
        <f>IFERROR(C6*INPUTS!$B$5,0)</f>
        <v/>
      </c>
      <c r="E6" s="13">
        <f>IFERROR(D6*INPUTS!$B$6,0)</f>
        <v/>
      </c>
      <c r="F6" s="14" t="n">
        <v>0.98</v>
      </c>
      <c r="G6" s="13">
        <f>IFERROR(E6*F6,0)</f>
        <v/>
      </c>
    </row>
    <row r="7">
      <c r="A7" s="10" t="inlineStr">
        <is>
          <t>PMF</t>
        </is>
      </c>
      <c r="B7" s="11" t="n">
        <v>0.13</v>
      </c>
      <c r="C7" s="12">
        <f>IFERROR(INPUTS!$B$4*B7,0)</f>
        <v/>
      </c>
      <c r="D7" s="12">
        <f>IFERROR(C7*INPUTS!$B$5,0)</f>
        <v/>
      </c>
      <c r="E7" s="13">
        <f>IFERROR(D7*INPUTS!$B$6,0)</f>
        <v/>
      </c>
      <c r="F7" s="14" t="n">
        <v>0.6</v>
      </c>
      <c r="G7" s="13">
        <f>IFERROR(E7*F7,0)</f>
        <v/>
      </c>
    </row>
    <row r="8">
      <c r="A8" s="10" t="inlineStr">
        <is>
          <t>POME</t>
        </is>
      </c>
      <c r="B8" s="11" t="n">
        <v>0.67</v>
      </c>
      <c r="C8" s="12">
        <f>IFERROR(INPUTS!$B$4*B8,0)</f>
        <v/>
      </c>
      <c r="D8" s="12">
        <f>IFERROR(C8*INPUTS!$B$5,0)</f>
        <v/>
      </c>
      <c r="E8" s="13">
        <f>IFERROR(D8*INPUTS!$B$6,0)</f>
        <v/>
      </c>
      <c r="F8" s="14" t="n">
        <v>0.04</v>
      </c>
      <c r="G8" s="13">
        <f>IFERROR(E8*F8,0)</f>
        <v/>
      </c>
    </row>
    <row r="9">
      <c r="A9" s="10" t="inlineStr">
        <is>
          <t>PKS</t>
        </is>
      </c>
      <c r="B9" s="11" t="n">
        <v>0.055</v>
      </c>
      <c r="C9" s="12">
        <f>IFERROR(INPUTS!$B$4*B9,0)</f>
        <v/>
      </c>
      <c r="D9" s="12">
        <f>IFERROR(C9*INPUTS!$B$5,0)</f>
        <v/>
      </c>
      <c r="E9" s="13">
        <f>IFERROR(D9*INPUTS!$B$6,0)</f>
        <v/>
      </c>
      <c r="F9" s="14" t="n">
        <v>0.85</v>
      </c>
      <c r="G9" s="13">
        <f>IFERROR(E9*F9,0)</f>
        <v/>
      </c>
    </row>
    <row r="11">
      <c r="A11" s="3" t="inlineStr">
        <is>
          <t>BLEND MASS BALANCE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EFB in Blend (t/month)</t>
        </is>
      </c>
      <c r="B12" s="13">
        <f>IFERROR(E4*INPUTS!$B$9/100,0)</f>
        <v/>
      </c>
    </row>
    <row r="13">
      <c r="A13" s="4" t="inlineStr">
        <is>
          <t>OPDC in Blend (t/month)</t>
        </is>
      </c>
      <c r="B13" s="13">
        <f>IFERROR(E5*INPUTS!$B$10/100,0)</f>
        <v/>
      </c>
    </row>
    <row r="14">
      <c r="A14" s="15" t="inlineStr">
        <is>
          <t>Total Blend Substrate (t/month)</t>
        </is>
      </c>
      <c r="B14" s="16">
        <f>IFERROR(B12+B13,0)</f>
        <v/>
      </c>
    </row>
    <row r="15">
      <c r="A15" s="4" t="inlineStr">
        <is>
          <t>Total Blend Substrate (t/day)</t>
        </is>
      </c>
      <c r="B15" s="13">
        <f>IFERROR(B14/INPUTS!$B$6,0)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8" t="inlineStr">
        <is>
          <t>STAGE 0 — FULL LAB ANALYSIS MATRIX (DM BASIS)</t>
        </is>
      </c>
    </row>
    <row r="3">
      <c r="A3" s="9" t="inlineStr">
        <is>
          <t>Parameter</t>
        </is>
      </c>
      <c r="B3" s="9" t="inlineStr">
        <is>
          <t>EFB</t>
        </is>
      </c>
      <c r="C3" s="9" t="inlineStr">
        <is>
          <t>OPDC</t>
        </is>
      </c>
      <c r="D3" s="9" t="inlineStr">
        <is>
          <t>POS</t>
        </is>
      </c>
      <c r="E3" s="9" t="inlineStr">
        <is>
          <t>PKSA</t>
        </is>
      </c>
      <c r="F3" s="9" t="inlineStr">
        <is>
          <t>PMF</t>
        </is>
      </c>
      <c r="G3" s="9" t="inlineStr">
        <is>
          <t>POME</t>
        </is>
      </c>
      <c r="H3" s="9" t="inlineStr">
        <is>
          <t>PKS</t>
        </is>
      </c>
      <c r="I3" s="9" t="inlineStr">
        <is>
          <t>PPF</t>
        </is>
      </c>
      <c r="J3" s="9" t="inlineStr">
        <is>
          <t>Trunk</t>
        </is>
      </c>
      <c r="K3" s="9" t="inlineStr">
        <is>
          <t>Frond</t>
        </is>
      </c>
      <c r="L3" s="9" t="inlineStr">
        <is>
          <t>Sludge</t>
        </is>
      </c>
      <c r="M3" s="9" t="inlineStr">
        <is>
          <t>60:40 Blend</t>
        </is>
      </c>
    </row>
    <row r="4">
      <c r="A4" s="10" t="inlineStr">
        <is>
          <t>DM%</t>
        </is>
      </c>
      <c r="B4" s="17" t="n">
        <v>37.5</v>
      </c>
      <c r="C4" s="17" t="n">
        <v>30</v>
      </c>
      <c r="D4" s="17" t="n">
        <v>15</v>
      </c>
      <c r="E4" s="17" t="n">
        <v>98</v>
      </c>
      <c r="F4" s="17" t="n">
        <v>60</v>
      </c>
      <c r="G4" s="17" t="n">
        <v>4</v>
      </c>
      <c r="H4" s="17" t="n">
        <v>85</v>
      </c>
      <c r="I4" s="17" t="n">
        <v>55</v>
      </c>
      <c r="J4" s="17" t="n">
        <v>25</v>
      </c>
      <c r="K4" s="17" t="n">
        <v>35</v>
      </c>
      <c r="L4" s="17" t="n">
        <v>25</v>
      </c>
      <c r="M4" s="12">
        <f>IFERROR(B4*INPUTS!$B$9/100+C4*INPUTS!$B$10/100,0)</f>
        <v/>
      </c>
    </row>
    <row r="5">
      <c r="A5" s="10" t="inlineStr">
        <is>
          <t>Moisture%</t>
        </is>
      </c>
      <c r="B5" s="17" t="n">
        <v>62.5</v>
      </c>
      <c r="C5" s="17" t="n">
        <v>70</v>
      </c>
      <c r="D5" s="17" t="n">
        <v>85</v>
      </c>
      <c r="E5" s="17" t="n">
        <v>2</v>
      </c>
      <c r="F5" s="17" t="n">
        <v>40</v>
      </c>
      <c r="G5" s="17" t="n">
        <v>96</v>
      </c>
      <c r="H5" s="17" t="n">
        <v>15</v>
      </c>
      <c r="I5" s="17" t="n">
        <v>45</v>
      </c>
      <c r="J5" s="17" t="n">
        <v>75</v>
      </c>
      <c r="K5" s="17" t="n">
        <v>65</v>
      </c>
      <c r="L5" s="17" t="n">
        <v>75</v>
      </c>
      <c r="M5" s="12">
        <f>IFERROR(B5*INPUTS!$B$9/100+C5*INPUTS!$B$10/100,0)</f>
        <v/>
      </c>
    </row>
    <row r="6">
      <c r="A6" s="10" t="inlineStr">
        <is>
          <t>pH</t>
        </is>
      </c>
      <c r="B6" s="17" t="n">
        <v>6.5</v>
      </c>
      <c r="C6" s="17" t="n">
        <v>6.8</v>
      </c>
      <c r="D6" s="17" t="n">
        <v>4.5</v>
      </c>
      <c r="E6" s="17" t="n">
        <v>11.2</v>
      </c>
      <c r="F6" s="17" t="n">
        <v>5.5</v>
      </c>
      <c r="G6" s="17" t="n">
        <v>4.5</v>
      </c>
      <c r="H6" s="17" t="n">
        <v>6</v>
      </c>
      <c r="I6" s="17" t="n">
        <v>5.8</v>
      </c>
      <c r="J6" s="17" t="n">
        <v>5.5</v>
      </c>
      <c r="K6" s="17" t="n">
        <v>5.6</v>
      </c>
      <c r="L6" s="17" t="n">
        <v>7</v>
      </c>
      <c r="M6" s="12">
        <f>IFERROR(B6*INPUTS!$B$9/100+C6*INPUTS!$B$10/100,0)</f>
        <v/>
      </c>
    </row>
    <row r="7">
      <c r="A7" s="10" t="inlineStr">
        <is>
          <t>N%</t>
        </is>
      </c>
      <c r="B7" s="17" t="n">
        <v>0.76</v>
      </c>
      <c r="C7" s="17" t="n">
        <v>2.45</v>
      </c>
      <c r="D7" s="17" t="n">
        <v>2.8</v>
      </c>
      <c r="E7" s="17" t="n">
        <v>0.5</v>
      </c>
      <c r="F7" s="17" t="n">
        <v>0.75</v>
      </c>
      <c r="G7" s="17" t="n">
        <v>0.6</v>
      </c>
      <c r="H7" s="17" t="n">
        <v>0.4</v>
      </c>
      <c r="I7" s="17" t="n">
        <v>0.55</v>
      </c>
      <c r="J7" s="17" t="n">
        <v>0.3</v>
      </c>
      <c r="K7" s="17" t="n">
        <v>1.2</v>
      </c>
      <c r="L7" s="17" t="n">
        <v>2.8</v>
      </c>
      <c r="M7" s="12">
        <f>IFERROR(B7*INPUTS!$B$9/100+C7*INPUTS!$B$10/100,0)</f>
        <v/>
      </c>
    </row>
    <row r="8">
      <c r="A8" s="10" t="inlineStr">
        <is>
          <t>P%</t>
        </is>
      </c>
      <c r="B8" s="17" t="n">
        <v>0.06</v>
      </c>
      <c r="C8" s="17" t="n">
        <v>0.43</v>
      </c>
      <c r="D8" s="17" t="n">
        <v>1.5</v>
      </c>
      <c r="E8" s="17" t="n">
        <v>2.94</v>
      </c>
      <c r="F8" s="17" t="n">
        <v>0.1</v>
      </c>
      <c r="G8" s="17" t="n">
        <v>0.25</v>
      </c>
      <c r="H8" s="17" t="n">
        <v>0.05</v>
      </c>
      <c r="I8" s="17" t="n">
        <v>0.08</v>
      </c>
      <c r="J8" s="17" t="n">
        <v>0.03</v>
      </c>
      <c r="K8" s="17" t="n">
        <v>0.12</v>
      </c>
      <c r="L8" s="17" t="n">
        <v>1.5</v>
      </c>
      <c r="M8" s="12">
        <f>IFERROR(B8*INPUTS!$B$9/100+C8*INPUTS!$B$10/100,0)</f>
        <v/>
      </c>
    </row>
    <row r="9">
      <c r="A9" s="10" t="inlineStr">
        <is>
          <t>K%</t>
        </is>
      </c>
      <c r="B9" s="17" t="n">
        <v>2</v>
      </c>
      <c r="C9" s="17" t="n">
        <v>2.2</v>
      </c>
      <c r="D9" s="17" t="n">
        <v>0.5</v>
      </c>
      <c r="E9" s="17" t="n">
        <v>12.5</v>
      </c>
      <c r="F9" s="17" t="n">
        <v>1.8</v>
      </c>
      <c r="G9" s="17" t="n">
        <v>1.5</v>
      </c>
      <c r="H9" s="17" t="n">
        <v>0.3</v>
      </c>
      <c r="I9" s="17" t="n">
        <v>1.4</v>
      </c>
      <c r="J9" s="17" t="n">
        <v>0.8</v>
      </c>
      <c r="K9" s="17" t="n">
        <v>1.5</v>
      </c>
      <c r="L9" s="17" t="n">
        <v>0.5</v>
      </c>
      <c r="M9" s="12">
        <f>IFERROR(B9*INPUTS!$B$9/100+C9*INPUTS!$B$10/100,0)</f>
        <v/>
      </c>
    </row>
    <row r="10">
      <c r="A10" s="10" t="inlineStr">
        <is>
          <t>Ca%</t>
        </is>
      </c>
      <c r="B10" s="17" t="n">
        <v>0.2</v>
      </c>
      <c r="C10" s="17" t="n">
        <v>1</v>
      </c>
      <c r="D10" s="17" t="n">
        <v>1.2</v>
      </c>
      <c r="E10" s="17" t="n">
        <v>8.5</v>
      </c>
      <c r="F10" s="17" t="n">
        <v>0.35</v>
      </c>
      <c r="G10" s="17" t="n">
        <v>0.3</v>
      </c>
      <c r="H10" s="17" t="n">
        <v>0.1</v>
      </c>
      <c r="I10" s="17" t="n">
        <v>0.25</v>
      </c>
      <c r="J10" s="17" t="n">
        <v>0.15</v>
      </c>
      <c r="K10" s="17" t="n">
        <v>0.4</v>
      </c>
      <c r="L10" s="17" t="n">
        <v>1.2</v>
      </c>
      <c r="M10" s="12">
        <f>IFERROR(B10*INPUTS!$B$9/100+C10*INPUTS!$B$10/100,0)</f>
        <v/>
      </c>
    </row>
    <row r="11">
      <c r="A11" s="10" t="inlineStr">
        <is>
          <t>Mg%</t>
        </is>
      </c>
      <c r="B11" s="17" t="n">
        <v>0.21</v>
      </c>
      <c r="C11" s="17" t="n">
        <v>0.55</v>
      </c>
      <c r="D11" s="17" t="n">
        <v>0.35</v>
      </c>
      <c r="E11" s="17" t="n">
        <v>2.2</v>
      </c>
      <c r="F11" s="17" t="n">
        <v>0.15</v>
      </c>
      <c r="G11" s="17" t="n">
        <v>0.2</v>
      </c>
      <c r="H11" s="17" t="n">
        <v>0.05</v>
      </c>
      <c r="I11" s="17" t="n">
        <v>0.12</v>
      </c>
      <c r="J11" s="17" t="n">
        <v>0.08</v>
      </c>
      <c r="K11" s="17" t="n">
        <v>0.18</v>
      </c>
      <c r="L11" s="17" t="n">
        <v>0.35</v>
      </c>
      <c r="M11" s="12">
        <f>IFERROR(B11*INPUTS!$B$9/100+C11*INPUTS!$B$10/100,0)</f>
        <v/>
      </c>
    </row>
    <row r="12">
      <c r="A12" s="10" t="inlineStr">
        <is>
          <t>S%</t>
        </is>
      </c>
      <c r="B12" s="17" t="n">
        <v>0.12</v>
      </c>
      <c r="C12" s="17" t="n">
        <v>0.18</v>
      </c>
      <c r="D12" s="18" t="inlineStr">
        <is>
          <t>DATA_GAP</t>
        </is>
      </c>
      <c r="E12" s="17" t="n">
        <v>0.3</v>
      </c>
      <c r="F12" s="18" t="inlineStr">
        <is>
          <t>DATA_GAP</t>
        </is>
      </c>
      <c r="G12" s="18" t="inlineStr">
        <is>
          <t>DATA_GAP</t>
        </is>
      </c>
      <c r="H12" s="18" t="inlineStr">
        <is>
          <t>DATA_GAP</t>
        </is>
      </c>
      <c r="I12" s="18" t="inlineStr">
        <is>
          <t>DATA_GAP</t>
        </is>
      </c>
      <c r="J12" s="18" t="inlineStr">
        <is>
          <t>DATA_GAP</t>
        </is>
      </c>
      <c r="K12" s="18" t="inlineStr">
        <is>
          <t>DATA_GAP</t>
        </is>
      </c>
      <c r="L12" s="18" t="inlineStr">
        <is>
          <t>DATA_GAP</t>
        </is>
      </c>
      <c r="M12" s="12">
        <f>IFERROR(B12*INPUTS!$B$9/100+C12*INPUTS!$B$10/100,0)</f>
        <v/>
      </c>
    </row>
    <row r="13">
      <c r="A13" s="10" t="inlineStr">
        <is>
          <t>Fe_ppm</t>
        </is>
      </c>
      <c r="B13" s="17" t="n">
        <v>1200</v>
      </c>
      <c r="C13" s="17" t="n">
        <v>800</v>
      </c>
      <c r="D13" s="18" t="inlineStr">
        <is>
          <t>DATA_GAP</t>
        </is>
      </c>
      <c r="E13" s="17" t="n">
        <v>5000</v>
      </c>
      <c r="F13" s="18" t="inlineStr">
        <is>
          <t>DATA_GAP</t>
        </is>
      </c>
      <c r="G13" s="18" t="inlineStr">
        <is>
          <t>DATA_GAP</t>
        </is>
      </c>
      <c r="H13" s="18" t="inlineStr">
        <is>
          <t>DATA_GAP</t>
        </is>
      </c>
      <c r="I13" s="18" t="inlineStr">
        <is>
          <t>DATA_GAP</t>
        </is>
      </c>
      <c r="J13" s="18" t="inlineStr">
        <is>
          <t>DATA_GAP</t>
        </is>
      </c>
      <c r="K13" s="18" t="inlineStr">
        <is>
          <t>DATA_GAP</t>
        </is>
      </c>
      <c r="L13" s="18" t="inlineStr">
        <is>
          <t>DATA_GAP</t>
        </is>
      </c>
      <c r="M13" s="12">
        <f>IFERROR(B13*INPUTS!$B$9/100+C13*INPUTS!$B$10/100,0)</f>
        <v/>
      </c>
    </row>
    <row r="14">
      <c r="A14" s="10" t="inlineStr">
        <is>
          <t>Zn_ppm</t>
        </is>
      </c>
      <c r="B14" s="17" t="n">
        <v>25</v>
      </c>
      <c r="C14" s="17" t="n">
        <v>45</v>
      </c>
      <c r="D14" s="18" t="inlineStr">
        <is>
          <t>DATA_GAP</t>
        </is>
      </c>
      <c r="E14" s="17" t="n">
        <v>60</v>
      </c>
      <c r="F14" s="18" t="inlineStr">
        <is>
          <t>DATA_GAP</t>
        </is>
      </c>
      <c r="G14" s="18" t="inlineStr">
        <is>
          <t>DATA_GAP</t>
        </is>
      </c>
      <c r="H14" s="18" t="inlineStr">
        <is>
          <t>DATA_GAP</t>
        </is>
      </c>
      <c r="I14" s="18" t="inlineStr">
        <is>
          <t>DATA_GAP</t>
        </is>
      </c>
      <c r="J14" s="18" t="inlineStr">
        <is>
          <t>DATA_GAP</t>
        </is>
      </c>
      <c r="K14" s="18" t="inlineStr">
        <is>
          <t>DATA_GAP</t>
        </is>
      </c>
      <c r="L14" s="18" t="inlineStr">
        <is>
          <t>DATA_GAP</t>
        </is>
      </c>
      <c r="M14" s="12">
        <f>IFERROR(B14*INPUTS!$B$9/100+C14*INPUTS!$B$10/100,0)</f>
        <v/>
      </c>
    </row>
    <row r="15">
      <c r="A15" s="10" t="inlineStr">
        <is>
          <t>Cu_ppm</t>
        </is>
      </c>
      <c r="B15" s="17" t="n">
        <v>8</v>
      </c>
      <c r="C15" s="17" t="n">
        <v>15</v>
      </c>
      <c r="D15" s="18" t="inlineStr">
        <is>
          <t>DATA_GAP</t>
        </is>
      </c>
      <c r="E15" s="17" t="n">
        <v>30</v>
      </c>
      <c r="F15" s="18" t="inlineStr">
        <is>
          <t>DATA_GAP</t>
        </is>
      </c>
      <c r="G15" s="18" t="inlineStr">
        <is>
          <t>DATA_GAP</t>
        </is>
      </c>
      <c r="H15" s="18" t="inlineStr">
        <is>
          <t>DATA_GAP</t>
        </is>
      </c>
      <c r="I15" s="18" t="inlineStr">
        <is>
          <t>DATA_GAP</t>
        </is>
      </c>
      <c r="J15" s="18" t="inlineStr">
        <is>
          <t>DATA_GAP</t>
        </is>
      </c>
      <c r="K15" s="18" t="inlineStr">
        <is>
          <t>DATA_GAP</t>
        </is>
      </c>
      <c r="L15" s="18" t="inlineStr">
        <is>
          <t>DATA_GAP</t>
        </is>
      </c>
      <c r="M15" s="12">
        <f>IFERROR(B15*INPUTS!$B$9/100+C15*INPUTS!$B$10/100,0)</f>
        <v/>
      </c>
    </row>
    <row r="16">
      <c r="A16" s="10" t="inlineStr">
        <is>
          <t>Mn_ppm</t>
        </is>
      </c>
      <c r="B16" s="17" t="n">
        <v>50</v>
      </c>
      <c r="C16" s="17" t="n">
        <v>80</v>
      </c>
      <c r="D16" s="18" t="inlineStr">
        <is>
          <t>DATA_GAP</t>
        </is>
      </c>
      <c r="E16" s="17" t="n">
        <v>200</v>
      </c>
      <c r="F16" s="18" t="inlineStr">
        <is>
          <t>DATA_GAP</t>
        </is>
      </c>
      <c r="G16" s="18" t="inlineStr">
        <is>
          <t>DATA_GAP</t>
        </is>
      </c>
      <c r="H16" s="18" t="inlineStr">
        <is>
          <t>DATA_GAP</t>
        </is>
      </c>
      <c r="I16" s="18" t="inlineStr">
        <is>
          <t>DATA_GAP</t>
        </is>
      </c>
      <c r="J16" s="18" t="inlineStr">
        <is>
          <t>DATA_GAP</t>
        </is>
      </c>
      <c r="K16" s="18" t="inlineStr">
        <is>
          <t>DATA_GAP</t>
        </is>
      </c>
      <c r="L16" s="18" t="inlineStr">
        <is>
          <t>DATA_GAP</t>
        </is>
      </c>
      <c r="M16" s="12">
        <f>IFERROR(B16*INPUTS!$B$9/100+C16*INPUTS!$B$10/100,0)</f>
        <v/>
      </c>
    </row>
    <row r="17">
      <c r="A17" s="10" t="inlineStr">
        <is>
          <t>B_ppm</t>
        </is>
      </c>
      <c r="B17" s="17" t="n">
        <v>12</v>
      </c>
      <c r="C17" s="17" t="n">
        <v>8</v>
      </c>
      <c r="D17" s="18" t="inlineStr">
        <is>
          <t>DATA_GAP</t>
        </is>
      </c>
      <c r="E17" s="17" t="n">
        <v>20</v>
      </c>
      <c r="F17" s="18" t="inlineStr">
        <is>
          <t>DATA_GAP</t>
        </is>
      </c>
      <c r="G17" s="18" t="inlineStr">
        <is>
          <t>DATA_GAP</t>
        </is>
      </c>
      <c r="H17" s="18" t="inlineStr">
        <is>
          <t>DATA_GAP</t>
        </is>
      </c>
      <c r="I17" s="18" t="inlineStr">
        <is>
          <t>DATA_GAP</t>
        </is>
      </c>
      <c r="J17" s="18" t="inlineStr">
        <is>
          <t>DATA_GAP</t>
        </is>
      </c>
      <c r="K17" s="18" t="inlineStr">
        <is>
          <t>DATA_GAP</t>
        </is>
      </c>
      <c r="L17" s="18" t="inlineStr">
        <is>
          <t>DATA_GAP</t>
        </is>
      </c>
      <c r="M17" s="12">
        <f>IFERROR(B17*INPUTS!$B$9/100+C17*INPUTS!$B$10/100,0)</f>
        <v/>
      </c>
    </row>
    <row r="18">
      <c r="A18" s="10" t="inlineStr">
        <is>
          <t>OM%</t>
        </is>
      </c>
      <c r="B18" s="17" t="n">
        <v>95</v>
      </c>
      <c r="C18" s="17" t="n">
        <v>83.5</v>
      </c>
      <c r="D18" s="17" t="n">
        <v>70</v>
      </c>
      <c r="E18" s="17" t="n">
        <v>0</v>
      </c>
      <c r="F18" s="17" t="n">
        <v>92</v>
      </c>
      <c r="G18" s="17" t="n">
        <v>70</v>
      </c>
      <c r="H18" s="17" t="n">
        <v>96</v>
      </c>
      <c r="I18" s="17" t="n">
        <v>90</v>
      </c>
      <c r="J18" s="17" t="n">
        <v>88</v>
      </c>
      <c r="K18" s="17" t="n">
        <v>85</v>
      </c>
      <c r="L18" s="17" t="n">
        <v>60</v>
      </c>
      <c r="M18" s="12">
        <f>IFERROR(B18*INPUTS!$B$9/100+C18*INPUTS!$B$10/100,0)</f>
        <v/>
      </c>
    </row>
    <row r="19">
      <c r="A19" s="10" t="inlineStr">
        <is>
          <t>Ash%</t>
        </is>
      </c>
      <c r="B19" s="17" t="n">
        <v>5</v>
      </c>
      <c r="C19" s="17" t="n">
        <v>16.5</v>
      </c>
      <c r="D19" s="17" t="n">
        <v>30</v>
      </c>
      <c r="E19" s="17" t="n">
        <v>100</v>
      </c>
      <c r="F19" s="17" t="n">
        <v>8</v>
      </c>
      <c r="G19" s="17" t="n">
        <v>30</v>
      </c>
      <c r="H19" s="17" t="n">
        <v>4</v>
      </c>
      <c r="I19" s="17" t="n">
        <v>10</v>
      </c>
      <c r="J19" s="17" t="n">
        <v>12</v>
      </c>
      <c r="K19" s="17" t="n">
        <v>15</v>
      </c>
      <c r="L19" s="17" t="n">
        <v>40</v>
      </c>
      <c r="M19" s="12">
        <f>IFERROR(B19*INPUTS!$B$9/100+C19*INPUTS!$B$10/100,0)</f>
        <v/>
      </c>
    </row>
    <row r="20">
      <c r="A20" s="10" t="inlineStr">
        <is>
          <t>Lignin%</t>
        </is>
      </c>
      <c r="B20" s="17" t="n">
        <v>22</v>
      </c>
      <c r="C20" s="17" t="n">
        <v>30.7</v>
      </c>
      <c r="D20" s="17" t="n">
        <v>5</v>
      </c>
      <c r="E20" s="17" t="n">
        <v>0</v>
      </c>
      <c r="F20" s="17" t="n">
        <v>27</v>
      </c>
      <c r="G20" s="17" t="n">
        <v>0</v>
      </c>
      <c r="H20" s="17" t="n">
        <v>50</v>
      </c>
      <c r="I20" s="17" t="n">
        <v>24</v>
      </c>
      <c r="J20" s="17" t="n">
        <v>18</v>
      </c>
      <c r="K20" s="17" t="n">
        <v>20</v>
      </c>
      <c r="L20" s="17" t="n">
        <v>5</v>
      </c>
      <c r="M20" s="12">
        <f>IFERROR(B20*INPUTS!$B$9/100+C20*INPUTS!$B$10/100,0)</f>
        <v/>
      </c>
    </row>
    <row r="21">
      <c r="A21" s="10" t="inlineStr">
        <is>
          <t>Cellulose%</t>
        </is>
      </c>
      <c r="B21" s="17" t="n">
        <v>35</v>
      </c>
      <c r="C21" s="17" t="n">
        <v>22</v>
      </c>
      <c r="D21" s="17" t="n">
        <v>8</v>
      </c>
      <c r="E21" s="17" t="n">
        <v>0</v>
      </c>
      <c r="F21" s="17" t="n">
        <v>33</v>
      </c>
      <c r="G21" s="17" t="n">
        <v>0</v>
      </c>
      <c r="H21" s="17" t="n">
        <v>30</v>
      </c>
      <c r="I21" s="17" t="n">
        <v>32</v>
      </c>
      <c r="J21" s="17" t="n">
        <v>40</v>
      </c>
      <c r="K21" s="17" t="n">
        <v>38</v>
      </c>
      <c r="L21" s="17" t="n">
        <v>8</v>
      </c>
      <c r="M21" s="12">
        <f>IFERROR(B21*INPUTS!$B$9/100+C21*INPUTS!$B$10/100,0)</f>
        <v/>
      </c>
    </row>
    <row r="22">
      <c r="A22" s="10" t="inlineStr">
        <is>
          <t>C_N_ratio</t>
        </is>
      </c>
      <c r="B22" s="17" t="n">
        <v>60</v>
      </c>
      <c r="C22" s="17" t="n">
        <v>20</v>
      </c>
      <c r="D22" s="17" t="n">
        <v>10</v>
      </c>
      <c r="E22" s="17" t="n">
        <v>0</v>
      </c>
      <c r="F22" s="17" t="n">
        <v>55</v>
      </c>
      <c r="G22" s="17" t="n">
        <v>12</v>
      </c>
      <c r="H22" s="17" t="n">
        <v>100</v>
      </c>
      <c r="I22" s="17" t="n">
        <v>65</v>
      </c>
      <c r="J22" s="17" t="n">
        <v>80</v>
      </c>
      <c r="K22" s="17" t="n">
        <v>40</v>
      </c>
      <c r="L22" s="17" t="n">
        <v>10</v>
      </c>
      <c r="M22" s="12">
        <f>IFERROR(B22*INPUTS!$B$9/100+C22*INPUTS!$B$10/100,0)</f>
        <v/>
      </c>
    </row>
    <row r="24">
      <c r="A24" s="3" t="inlineStr">
        <is>
          <t>AS-RECEIVED BASIS (multiply DM-basis values by DM%/100)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" t="inlineStr">
        <is>
          <t>(N, P, K, Ca, Mg as-received shown below)</t>
        </is>
      </c>
    </row>
    <row r="26">
      <c r="A26" s="10" t="inlineStr">
        <is>
          <t>N% (AR)</t>
        </is>
      </c>
      <c r="B26" s="19">
        <f>IFERROR(B7*B4/100,0)</f>
        <v/>
      </c>
      <c r="C26" s="19">
        <f>IFERROR(C7*C4/100,0)</f>
        <v/>
      </c>
      <c r="D26" s="19">
        <f>IFERROR(D7*D4/100,0)</f>
        <v/>
      </c>
      <c r="E26" s="19">
        <f>IFERROR(E7*E4/100,0)</f>
        <v/>
      </c>
      <c r="F26" s="19">
        <f>IFERROR(F7*F4/100,0)</f>
        <v/>
      </c>
      <c r="G26" s="19">
        <f>IFERROR(G7*G4/100,0)</f>
        <v/>
      </c>
      <c r="H26" s="19">
        <f>IFERROR(H7*H4/100,0)</f>
        <v/>
      </c>
      <c r="I26" s="19">
        <f>IFERROR(I7*I4/100,0)</f>
        <v/>
      </c>
      <c r="J26" s="19">
        <f>IFERROR(J7*J4/100,0)</f>
        <v/>
      </c>
      <c r="K26" s="19">
        <f>IFERROR(K7*K4/100,0)</f>
        <v/>
      </c>
      <c r="L26" s="19">
        <f>IFERROR(L7*L4/100,0)</f>
        <v/>
      </c>
    </row>
    <row r="27">
      <c r="A27" s="10" t="inlineStr">
        <is>
          <t>P% (AR)</t>
        </is>
      </c>
      <c r="B27" s="19">
        <f>IFERROR(B8*B4/100,0)</f>
        <v/>
      </c>
      <c r="C27" s="19">
        <f>IFERROR(C8*C4/100,0)</f>
        <v/>
      </c>
      <c r="D27" s="19">
        <f>IFERROR(D8*D4/100,0)</f>
        <v/>
      </c>
      <c r="E27" s="19">
        <f>IFERROR(E8*E4/100,0)</f>
        <v/>
      </c>
      <c r="F27" s="19">
        <f>IFERROR(F8*F4/100,0)</f>
        <v/>
      </c>
      <c r="G27" s="19">
        <f>IFERROR(G8*G4/100,0)</f>
        <v/>
      </c>
      <c r="H27" s="19">
        <f>IFERROR(H8*H4/100,0)</f>
        <v/>
      </c>
      <c r="I27" s="19">
        <f>IFERROR(I8*I4/100,0)</f>
        <v/>
      </c>
      <c r="J27" s="19">
        <f>IFERROR(J8*J4/100,0)</f>
        <v/>
      </c>
      <c r="K27" s="19">
        <f>IFERROR(K8*K4/100,0)</f>
        <v/>
      </c>
      <c r="L27" s="19">
        <f>IFERROR(L8*L4/100,0)</f>
        <v/>
      </c>
    </row>
    <row r="28">
      <c r="A28" s="10" t="inlineStr">
        <is>
          <t>K% (AR)</t>
        </is>
      </c>
      <c r="B28" s="19">
        <f>IFERROR(B9*B4/100,0)</f>
        <v/>
      </c>
      <c r="C28" s="19">
        <f>IFERROR(C9*C4/100,0)</f>
        <v/>
      </c>
      <c r="D28" s="19">
        <f>IFERROR(D9*D4/100,0)</f>
        <v/>
      </c>
      <c r="E28" s="19">
        <f>IFERROR(E9*E4/100,0)</f>
        <v/>
      </c>
      <c r="F28" s="19">
        <f>IFERROR(F9*F4/100,0)</f>
        <v/>
      </c>
      <c r="G28" s="19">
        <f>IFERROR(G9*G4/100,0)</f>
        <v/>
      </c>
      <c r="H28" s="19">
        <f>IFERROR(H9*H4/100,0)</f>
        <v/>
      </c>
      <c r="I28" s="19">
        <f>IFERROR(I9*I4/100,0)</f>
        <v/>
      </c>
      <c r="J28" s="19">
        <f>IFERROR(J9*J4/100,0)</f>
        <v/>
      </c>
      <c r="K28" s="19">
        <f>IFERROR(K9*K4/100,0)</f>
        <v/>
      </c>
      <c r="L28" s="19">
        <f>IFERROR(L9*L4/100,0)</f>
        <v/>
      </c>
    </row>
    <row r="29">
      <c r="A29" s="10" t="inlineStr">
        <is>
          <t>Ca% (AR)</t>
        </is>
      </c>
      <c r="B29" s="19">
        <f>IFERROR(B10*B4/100,0)</f>
        <v/>
      </c>
      <c r="C29" s="19">
        <f>IFERROR(C10*C4/100,0)</f>
        <v/>
      </c>
      <c r="D29" s="19">
        <f>IFERROR(D10*D4/100,0)</f>
        <v/>
      </c>
      <c r="E29" s="19">
        <f>IFERROR(E10*E4/100,0)</f>
        <v/>
      </c>
      <c r="F29" s="19">
        <f>IFERROR(F10*F4/100,0)</f>
        <v/>
      </c>
      <c r="G29" s="19">
        <f>IFERROR(G10*G4/100,0)</f>
        <v/>
      </c>
      <c r="H29" s="19">
        <f>IFERROR(H10*H4/100,0)</f>
        <v/>
      </c>
      <c r="I29" s="19">
        <f>IFERROR(I10*I4/100,0)</f>
        <v/>
      </c>
      <c r="J29" s="19">
        <f>IFERROR(J10*J4/100,0)</f>
        <v/>
      </c>
      <c r="K29" s="19">
        <f>IFERROR(K10*K4/100,0)</f>
        <v/>
      </c>
      <c r="L29" s="19">
        <f>IFERROR(L10*L4/100,0)</f>
        <v/>
      </c>
    </row>
    <row r="30">
      <c r="A30" s="10" t="inlineStr">
        <is>
          <t>Mg% (AR)</t>
        </is>
      </c>
      <c r="B30" s="19">
        <f>IFERROR(B11*B4/100,0)</f>
        <v/>
      </c>
      <c r="C30" s="19">
        <f>IFERROR(C11*C4/100,0)</f>
        <v/>
      </c>
      <c r="D30" s="19">
        <f>IFERROR(D11*D4/100,0)</f>
        <v/>
      </c>
      <c r="E30" s="19">
        <f>IFERROR(E11*E4/100,0)</f>
        <v/>
      </c>
      <c r="F30" s="19">
        <f>IFERROR(F11*F4/100,0)</f>
        <v/>
      </c>
      <c r="G30" s="19">
        <f>IFERROR(G11*G4/100,0)</f>
        <v/>
      </c>
      <c r="H30" s="19">
        <f>IFERROR(H11*H4/100,0)</f>
        <v/>
      </c>
      <c r="I30" s="19">
        <f>IFERROR(I11*I4/100,0)</f>
        <v/>
      </c>
      <c r="J30" s="19">
        <f>IFERROR(J11*J4/100,0)</f>
        <v/>
      </c>
      <c r="K30" s="19">
        <f>IFERROR(K11*K4/100,0)</f>
        <v/>
      </c>
      <c r="L30" s="19">
        <f>IFERROR(L11*L4/100,0)</f>
        <v/>
      </c>
    </row>
  </sheetData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40" customWidth="1" min="4" max="4"/>
  </cols>
  <sheetData>
    <row r="1">
      <c r="A1" s="8" t="inlineStr">
        <is>
          <t>STAGE 1 — MECHANICAL PREPROCESSING</t>
        </is>
      </c>
    </row>
    <row r="3">
      <c r="A3" s="3" t="inlineStr">
        <is>
          <t>MECHANICAL SIZE REDUCTION</t>
        </is>
      </c>
      <c r="B3" s="3" t="n"/>
      <c r="C3" s="3" t="n"/>
      <c r="D3" s="3" t="n"/>
    </row>
    <row r="4">
      <c r="A4" s="4" t="inlineStr">
        <is>
          <t>Step 1: Shredding (EFB)</t>
        </is>
      </c>
      <c r="B4" s="10" t="inlineStr">
        <is>
          <t>50-100mm</t>
        </is>
      </c>
      <c r="C4" s="2" t="inlineStr">
        <is>
          <t>mm</t>
        </is>
      </c>
      <c r="D4" s="2" t="inlineStr">
        <is>
          <t>Primary size reduction</t>
        </is>
      </c>
    </row>
    <row r="5">
      <c r="A5" s="4" t="inlineStr">
        <is>
          <t>Step 2: Hammer Mill</t>
        </is>
      </c>
      <c r="B5" s="10" t="inlineStr">
        <is>
          <t>2mm</t>
        </is>
      </c>
      <c r="C5" s="2" t="inlineStr">
        <is>
          <t>mm</t>
        </is>
      </c>
      <c r="D5" s="2" t="inlineStr">
        <is>
          <t>Target particle size for BSF substrate</t>
        </is>
      </c>
    </row>
    <row r="6">
      <c r="A6" s="4" t="inlineStr">
        <is>
          <t>Target Particle Size</t>
        </is>
      </c>
      <c r="B6" s="10" t="n">
        <v>2</v>
      </c>
      <c r="C6" s="2" t="inlineStr">
        <is>
          <t>mm</t>
        </is>
      </c>
      <c r="D6" s="2" t="inlineStr">
        <is>
          <t>Optimal for microbial access and BSF feeding</t>
        </is>
      </c>
    </row>
    <row r="7">
      <c r="A7" s="4" t="inlineStr">
        <is>
          <t>Moisture Loss from Processing</t>
        </is>
      </c>
      <c r="B7" s="10" t="n">
        <v>3</v>
      </c>
      <c r="C7" s="2" t="inlineStr">
        <is>
          <t>%</t>
        </is>
      </c>
      <c r="D7" s="2" t="inlineStr">
        <is>
          <t>Mechanical compression moisture loss</t>
        </is>
      </c>
    </row>
    <row r="9">
      <c r="A9" s="3" t="inlineStr">
        <is>
          <t>MASS BALANCE — PREPROCESSING</t>
        </is>
      </c>
      <c r="B9" s="3" t="n"/>
      <c r="C9" s="3" t="n"/>
      <c r="D9" s="3" t="n"/>
    </row>
    <row r="10">
      <c r="A10" s="4" t="inlineStr">
        <is>
          <t>Substrate Input (t/month)</t>
        </is>
      </c>
      <c r="B10" s="13">
        <f>IFERROR(S0_Waste_Streams!B13,0)</f>
        <v/>
      </c>
    </row>
    <row r="11">
      <c r="A11" s="4" t="inlineStr">
        <is>
          <t>Moisture Loss (t/month)</t>
        </is>
      </c>
      <c r="B11" s="13">
        <f>IFERROR(B10*0.03,0)</f>
        <v/>
      </c>
    </row>
    <row r="12">
      <c r="A12" s="15" t="inlineStr">
        <is>
          <t>Substrate After Preprocessing (t/month)</t>
        </is>
      </c>
      <c r="B12" s="16">
        <f>IFERROR(B10-B11,0)</f>
        <v/>
      </c>
    </row>
    <row r="14">
      <c r="A14" s="3" t="inlineStr">
        <is>
          <t>PKSA SOAKING</t>
        </is>
      </c>
      <c r="B14" s="3" t="n"/>
      <c r="C14" s="3" t="n"/>
      <c r="D14" s="3" t="n"/>
    </row>
    <row r="15">
      <c r="A15" s="4" t="inlineStr">
        <is>
          <t>PKSA Dose (from INPUTS)</t>
        </is>
      </c>
      <c r="B15" s="6">
        <f>INPUTS!$B$17</f>
        <v/>
      </c>
      <c r="C15" s="2" t="inlineStr">
        <is>
          <t>kg/t</t>
        </is>
      </c>
    </row>
    <row r="16">
      <c r="A16" s="4" t="inlineStr">
        <is>
          <t>PKSA Required (t/month)</t>
        </is>
      </c>
      <c r="B16" s="12">
        <f>IFERROR(B12*B15/1000,0)</f>
        <v/>
      </c>
    </row>
    <row r="17">
      <c r="A17" s="4" t="inlineStr">
        <is>
          <t>PKSA Cost ($/month)</t>
        </is>
      </c>
      <c r="B17" s="6" t="n">
        <v>0</v>
      </c>
    </row>
    <row r="18">
      <c r="A18" s="4" t="inlineStr">
        <is>
          <t>Water for PKSA Soaking (litres/month)</t>
        </is>
      </c>
      <c r="B18" s="20">
        <f>IFERROR(B16*1000*5,0)</f>
        <v/>
      </c>
      <c r="D18" s="2" t="inlineStr">
        <is>
          <t>Ratio: 5L water per kg PKSA</t>
        </is>
      </c>
    </row>
    <row r="20">
      <c r="A20" s="3" t="inlineStr">
        <is>
          <t>MIXING PARAMETERS</t>
        </is>
      </c>
      <c r="B20" s="3" t="n"/>
      <c r="C20" s="3" t="n"/>
      <c r="D20" s="3" t="n"/>
    </row>
    <row r="21">
      <c r="A21" s="4" t="inlineStr">
        <is>
          <t>Mixing Duration (minutes)</t>
        </is>
      </c>
      <c r="B21" s="10" t="inlineStr">
        <is>
          <t>60-90</t>
        </is>
      </c>
      <c r="C21" s="2" t="inlineStr">
        <is>
          <t>min</t>
        </is>
      </c>
    </row>
    <row r="22">
      <c r="A22" s="4" t="inlineStr">
        <is>
          <t>Expected pH After PKSA Contact</t>
        </is>
      </c>
      <c r="B22" s="10" t="inlineStr">
        <is>
          <t>10-12</t>
        </is>
      </c>
      <c r="C22" s="2" t="inlineStr">
        <is>
          <t>pH</t>
        </is>
      </c>
    </row>
    <row r="23">
      <c r="A23" s="4" t="inlineStr">
        <is>
          <t>Mixing Method</t>
        </is>
      </c>
      <c r="B23" s="10" t="inlineStr">
        <is>
          <t>Mechanical paddle mixer</t>
        </is>
      </c>
      <c r="C23" s="2" t="inlineStr"/>
    </row>
    <row r="25">
      <c r="A25" s="3" t="inlineStr">
        <is>
          <t>ENERGY CONSUMPTION</t>
        </is>
      </c>
      <c r="B25" s="3" t="n"/>
      <c r="C25" s="3" t="n"/>
      <c r="D25" s="3" t="n"/>
    </row>
    <row r="26">
      <c r="A26" s="4" t="inlineStr">
        <is>
          <t>Shredder (kWh/t)</t>
        </is>
      </c>
      <c r="B26" s="21" t="n">
        <v>25</v>
      </c>
    </row>
    <row r="27">
      <c r="A27" s="4" t="inlineStr">
        <is>
          <t>Hammer Mill (kWh/t)</t>
        </is>
      </c>
      <c r="B27" s="21" t="n">
        <v>35</v>
      </c>
    </row>
    <row r="28">
      <c r="A28" s="4" t="inlineStr">
        <is>
          <t>Mixer (kWh/t)</t>
        </is>
      </c>
      <c r="B28" s="21" t="n">
        <v>8</v>
      </c>
    </row>
    <row r="29">
      <c r="A29" s="7" t="inlineStr">
        <is>
          <t>Total Energy (kWh/t substrate)</t>
        </is>
      </c>
      <c r="B29" s="6">
        <f>IFERROR(SUM(B26:B28),0)</f>
        <v/>
      </c>
    </row>
    <row r="30">
      <c r="A30" s="4" t="inlineStr">
        <is>
          <t>Total Energy Cost ($/month @ $0.08/kWh)</t>
        </is>
      </c>
      <c r="B30" s="22">
        <f>IFERROR(B29*B12*0.08,0)</f>
        <v/>
      </c>
    </row>
    <row r="32">
      <c r="A32" s="3" t="inlineStr">
        <is>
          <t>STAGE 1 COST SUMMARY</t>
        </is>
      </c>
      <c r="B32" s="3" t="n"/>
      <c r="C32" s="3" t="n"/>
      <c r="D32" s="3" t="n"/>
    </row>
    <row r="33">
      <c r="A33" s="4" t="inlineStr">
        <is>
          <t>Energy Cost ($/month)</t>
        </is>
      </c>
      <c r="B33" s="22">
        <f>B30</f>
        <v/>
      </c>
    </row>
    <row r="34">
      <c r="A34" s="4" t="inlineStr">
        <is>
          <t>PKSA Cost ($/month)</t>
        </is>
      </c>
      <c r="B34" s="21" t="n">
        <v>0</v>
      </c>
    </row>
    <row r="35">
      <c r="A35" s="7" t="inlineStr">
        <is>
          <t>Total Stage 1 Cost ($/month)</t>
        </is>
      </c>
      <c r="B35" s="22">
        <f>IFERROR(B33+B34,0)</f>
        <v/>
      </c>
    </row>
    <row r="36">
      <c r="A36" s="7" t="inlineStr">
        <is>
          <t>Cost per Tonne Substrate ($/t)</t>
        </is>
      </c>
      <c r="B36" s="23">
        <f>IFERROR(B35/B12,0)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STAGE 1 — POST-PREPROCESSING LAB PARAMETERS</t>
        </is>
      </c>
    </row>
    <row r="3">
      <c r="A3" s="9" t="inlineStr">
        <is>
          <t>Parameter</t>
        </is>
      </c>
      <c r="B3" s="9" t="inlineStr">
        <is>
          <t>Pre-Processing</t>
        </is>
      </c>
      <c r="C3" s="9" t="inlineStr">
        <is>
          <t>Post-Processing</t>
        </is>
      </c>
      <c r="D3" s="9" t="inlineStr">
        <is>
          <t>Notes</t>
        </is>
      </c>
    </row>
    <row r="4">
      <c r="A4" s="10" t="inlineStr">
        <is>
          <t>Particle Size (mm)</t>
        </is>
      </c>
      <c r="B4" s="10" t="inlineStr">
        <is>
          <t>Variable</t>
        </is>
      </c>
      <c r="C4" s="6" t="inlineStr">
        <is>
          <t>2</t>
        </is>
      </c>
      <c r="D4" s="2" t="inlineStr">
        <is>
          <t>Target: 2mm via hammer mill</t>
        </is>
      </c>
    </row>
    <row r="5">
      <c r="A5" s="10" t="inlineStr">
        <is>
          <t>pH</t>
        </is>
      </c>
      <c r="B5" s="10">
        <f>IFERROR(S0_Lab_Analysis!M6,0)</f>
        <v/>
      </c>
      <c r="C5" s="6" t="n">
        <v>11</v>
      </c>
      <c r="D5" s="2" t="inlineStr">
        <is>
          <t>Post PKSA contact: 10-12</t>
        </is>
      </c>
    </row>
    <row r="6">
      <c r="A6" s="10" t="inlineStr">
        <is>
          <t>Moisture%</t>
        </is>
      </c>
      <c r="B6" s="10">
        <f>IFERROR(S0_Lab_Analysis!M5,0)</f>
        <v/>
      </c>
      <c r="C6" s="6">
        <f>IFERROR(B6-3,0)</f>
        <v/>
      </c>
      <c r="D6" s="2" t="inlineStr">
        <is>
          <t>~3% loss from mechanical processing</t>
        </is>
      </c>
    </row>
    <row r="7">
      <c r="A7" s="10" t="inlineStr">
        <is>
          <t>DM%</t>
        </is>
      </c>
      <c r="B7" s="10">
        <f>IFERROR(S0_Lab_Analysis!M4,0)</f>
        <v/>
      </c>
      <c r="C7" s="6">
        <f>IFERROR(100-C6,0)</f>
        <v/>
      </c>
      <c r="D7" s="2" t="inlineStr">
        <is>
          <t>Inverse of moisture</t>
        </is>
      </c>
    </row>
    <row r="8">
      <c r="A8" s="10" t="inlineStr">
        <is>
          <t>Lignin%</t>
        </is>
      </c>
      <c r="B8" s="10">
        <f>IFERROR(S0_Lab_Analysis!M20,0)</f>
        <v/>
      </c>
      <c r="C8" s="6">
        <f>B8</f>
        <v/>
      </c>
      <c r="D8" s="2" t="inlineStr">
        <is>
          <t>Unchanged at Stage 1</t>
        </is>
      </c>
    </row>
    <row r="9">
      <c r="A9" s="10" t="inlineStr">
        <is>
          <t>Cellulose%</t>
        </is>
      </c>
      <c r="B9" s="10">
        <f>IFERROR(S0_Lab_Analysis!M21,0)</f>
        <v/>
      </c>
      <c r="C9" s="6">
        <f>B9</f>
        <v/>
      </c>
      <c r="D9" s="2" t="inlineStr">
        <is>
          <t>Unchanged at Stage 1</t>
        </is>
      </c>
    </row>
    <row r="10">
      <c r="A10" s="10" t="inlineStr">
        <is>
          <t>C:N ratio</t>
        </is>
      </c>
      <c r="B10" s="10">
        <f>IFERROR(S0_Lab_Analysis!M22,0)</f>
        <v/>
      </c>
      <c r="C10" s="6">
        <f>B10</f>
        <v/>
      </c>
      <c r="D10" s="2" t="inlineStr">
        <is>
          <t>Unchanged at Stage 1</t>
        </is>
      </c>
    </row>
    <row r="11">
      <c r="A11" s="10" t="inlineStr">
        <is>
          <t>N%</t>
        </is>
      </c>
      <c r="B11" s="10">
        <f>IFERROR(S0_Lab_Analysis!M7,0)</f>
        <v/>
      </c>
      <c r="C11" s="6">
        <f>B11</f>
        <v/>
      </c>
      <c r="D11" s="2" t="inlineStr">
        <is>
          <t>Unchanged at Stage 1</t>
        </is>
      </c>
    </row>
    <row r="12">
      <c r="A12" s="10" t="inlineStr">
        <is>
          <t>P%</t>
        </is>
      </c>
      <c r="B12" s="10">
        <f>IFERROR(S0_Lab_Analysis!M8,0)</f>
        <v/>
      </c>
      <c r="C12" s="6">
        <f>B12</f>
        <v/>
      </c>
      <c r="D12" s="2" t="inlineStr">
        <is>
          <t>May increase slightly from PKSA P contribution</t>
        </is>
      </c>
    </row>
    <row r="13">
      <c r="A13" s="10" t="inlineStr">
        <is>
          <t>K%</t>
        </is>
      </c>
      <c r="B13" s="10">
        <f>IFERROR(S0_Lab_Analysis!M9,0)</f>
        <v/>
      </c>
      <c r="C13" s="6">
        <f>B13</f>
        <v/>
      </c>
      <c r="D13" s="2" t="inlineStr">
        <is>
          <t>May increase from PKSA K contribution</t>
        </is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2 — CHEMICAL PRE-TREATMENT</t>
        </is>
      </c>
    </row>
    <row r="3">
      <c r="A3" s="3" t="inlineStr">
        <is>
          <t>CHEMICAL SELECTION (from INPUTS)</t>
        </is>
      </c>
      <c r="B3" s="3" t="n"/>
      <c r="C3" s="3" t="n"/>
      <c r="D3" s="3" t="n"/>
    </row>
    <row r="4">
      <c r="A4" s="4" t="inlineStr">
        <is>
          <t>Selected Chemical</t>
        </is>
      </c>
      <c r="B4" s="6">
        <f>INPUTS!$B$16</f>
        <v/>
      </c>
    </row>
    <row r="5">
      <c r="A5" s="4" t="inlineStr">
        <is>
          <t>Dose Rate (kg/t)</t>
        </is>
      </c>
      <c r="B5" s="6">
        <f>INPUTS!$B$17</f>
        <v/>
      </c>
    </row>
    <row r="6">
      <c r="A6" s="4" t="inlineStr">
        <is>
          <t>Cost ($/t substrate)</t>
        </is>
      </c>
      <c r="B6" s="23">
        <f>IFERROR(VLOOKUP(B4,S2_Chemical_Library!$A$3:$H$20,5,FALSE),0)</f>
        <v/>
      </c>
    </row>
    <row r="7">
      <c r="A7" s="4" t="inlineStr">
        <is>
          <t>Lignin Reduction (%)</t>
        </is>
      </c>
      <c r="B7" s="24">
        <f>IFERROR(VLOOKUP(B4,S2_Chemical_Library!$A$3:$H$20,7,FALSE),0)</f>
        <v/>
      </c>
    </row>
    <row r="8">
      <c r="A8" s="4" t="inlineStr">
        <is>
          <t>Chemical Alert Status</t>
        </is>
      </c>
      <c r="B8" s="21">
        <f>IF(B4="NaOH","WARNING: CAUSTIC - SEE ALERT","OK")</f>
        <v/>
      </c>
    </row>
    <row r="9">
      <c r="A9" s="25" t="inlineStr">
        <is>
          <t>WARNING ROW</t>
        </is>
      </c>
      <c r="B9" s="26">
        <f>IF(B4="NaOH","ALERT: NaOH selected. Caustic soda requires full PPE (gloves, goggles, face shield). Risk of substrate over-alkalisation above pH 13. Neutralise fully before BSF inoculation. PKSA is the safer zero-cost alternative.","")</f>
        <v/>
      </c>
      <c r="C9" s="27" t="n"/>
      <c r="D9" s="28" t="n"/>
    </row>
    <row r="11">
      <c r="A11" s="3" t="inlineStr">
        <is>
          <t>pH TRAJECTORY</t>
        </is>
      </c>
      <c r="B11" s="3" t="n"/>
      <c r="C11" s="3" t="n"/>
      <c r="D11" s="3" t="n"/>
    </row>
    <row r="12">
      <c r="A12" s="10" t="inlineStr">
        <is>
          <t>Substrate pH (pre-treatment)</t>
        </is>
      </c>
      <c r="B12" s="21">
        <f>IFERROR(S1_Lab_Analysis!C5,6.5)</f>
        <v/>
      </c>
      <c r="D12" s="2" t="inlineStr">
        <is>
          <t>From S1 Lab Analysis</t>
        </is>
      </c>
    </row>
    <row r="13">
      <c r="A13" s="10" t="inlineStr">
        <is>
          <t>pH After Chemical Contact (0hr)</t>
        </is>
      </c>
      <c r="B13" s="21" t="inlineStr">
        <is>
          <t>10-12</t>
        </is>
      </c>
      <c r="D13" s="2" t="inlineStr">
        <is>
          <t>Immediate alkalinity from PKSA</t>
        </is>
      </c>
    </row>
    <row r="14">
      <c r="A14" s="10" t="inlineStr">
        <is>
          <t>pH at 8-12hr (1st turning)</t>
        </is>
      </c>
      <c r="B14" s="21" t="inlineStr">
        <is>
          <t>9-11</t>
        </is>
      </c>
      <c r="D14" s="2" t="inlineStr">
        <is>
          <t>CO2 carbonation begins</t>
        </is>
      </c>
    </row>
    <row r="15">
      <c r="A15" s="10" t="inlineStr">
        <is>
          <t>pH at 16-20hr (2nd turning)</t>
        </is>
      </c>
      <c r="B15" s="21" t="inlineStr">
        <is>
          <t>8-9</t>
        </is>
      </c>
      <c r="D15" s="2" t="inlineStr">
        <is>
          <t>Further neutralisation</t>
        </is>
      </c>
    </row>
    <row r="16">
      <c r="A16" s="10" t="inlineStr">
        <is>
          <t>pH at 24hr (final)</t>
        </is>
      </c>
      <c r="B16" s="21" t="inlineStr">
        <is>
          <t>6.5-8.0</t>
        </is>
      </c>
      <c r="D16" s="2" t="inlineStr">
        <is>
          <t>Target: ready for biologicals</t>
        </is>
      </c>
    </row>
    <row r="18">
      <c r="A18" s="3" t="inlineStr">
        <is>
          <t>NEUTRALISATION TIMELINE (24hr — MANDATORY)</t>
        </is>
      </c>
      <c r="B18" s="3" t="n"/>
      <c r="C18" s="3" t="n"/>
      <c r="D18" s="3" t="n"/>
    </row>
    <row r="19">
      <c r="A19" s="10" t="inlineStr">
        <is>
          <t>T=0hr: Chemical applied + mixing</t>
        </is>
      </c>
      <c r="B19" s="10" t="inlineStr">
        <is>
          <t>60-90 min mixing</t>
        </is>
      </c>
      <c r="C19" s="29" t="inlineStr">
        <is>
          <t>HARD-CODED</t>
        </is>
      </c>
    </row>
    <row r="20">
      <c r="A20" s="10" t="inlineStr">
        <is>
          <t>T=8-12hr: FIRST TURNING</t>
        </is>
      </c>
      <c r="B20" s="10" t="inlineStr">
        <is>
          <t>Mandatory physical turning</t>
        </is>
      </c>
      <c r="C20" s="29" t="inlineStr">
        <is>
          <t>HARD-CODED</t>
        </is>
      </c>
    </row>
    <row r="21">
      <c r="A21" s="10" t="inlineStr">
        <is>
          <t>T=16-20hr: SECOND TURNING</t>
        </is>
      </c>
      <c r="B21" s="10" t="inlineStr">
        <is>
          <t>Mandatory physical turning</t>
        </is>
      </c>
      <c r="C21" s="29" t="inlineStr">
        <is>
          <t>HARD-CODED</t>
        </is>
      </c>
    </row>
    <row r="22">
      <c r="A22" s="10" t="inlineStr">
        <is>
          <t>T=24hr: Neutralisation complete</t>
        </is>
      </c>
      <c r="B22" s="10" t="inlineStr">
        <is>
          <t>Check pH 6.5-8.0</t>
        </is>
      </c>
      <c r="C22" s="29" t="inlineStr">
        <is>
          <t>HARD-CODED</t>
        </is>
      </c>
    </row>
    <row r="24">
      <c r="A24" s="3" t="inlineStr">
        <is>
          <t>SUBSTRATE PARAMETERS POST-CHEMICAL TREATMENT</t>
        </is>
      </c>
      <c r="B24" s="3" t="n"/>
      <c r="C24" s="3" t="n"/>
      <c r="D24" s="3" t="n"/>
    </row>
    <row r="25">
      <c r="A25" s="10" t="inlineStr">
        <is>
          <t>Lignin% (post-treatment)</t>
        </is>
      </c>
      <c r="B25" s="13">
        <f>IFERROR(S1_Lab_Analysis!C9*(1-B7),0)</f>
        <v/>
      </c>
    </row>
    <row r="26">
      <c r="A26" s="10" t="inlineStr">
        <is>
          <t>pH (post-neutralisation)</t>
        </is>
      </c>
      <c r="B26" s="13" t="inlineStr">
        <is>
          <t>6.5-8.0</t>
        </is>
      </c>
    </row>
    <row r="27">
      <c r="A27" s="10" t="inlineStr">
        <is>
          <t>Moisture%</t>
        </is>
      </c>
      <c r="B27" s="13">
        <f>IFERROR(S1_Lab_Analysis!C6,65)</f>
        <v/>
      </c>
    </row>
    <row r="28">
      <c r="A28" s="10" t="inlineStr">
        <is>
          <t>C:N ratio</t>
        </is>
      </c>
      <c r="B28" s="13">
        <f>IFERROR(S1_Lab_Analysis!C10,32)</f>
        <v/>
      </c>
    </row>
    <row r="30">
      <c r="A30" s="3" t="inlineStr">
        <is>
          <t>STAGE 2 COST CALCULATION</t>
        </is>
      </c>
      <c r="B30" s="3" t="n"/>
      <c r="C30" s="3" t="n"/>
      <c r="D30" s="3" t="n"/>
    </row>
    <row r="31">
      <c r="A31" s="4" t="inlineStr">
        <is>
          <t>Substrate Volume (t/month)</t>
        </is>
      </c>
      <c r="B31" s="13">
        <f>IFERROR(S1_Preprocessing!B12,0)</f>
        <v/>
      </c>
    </row>
    <row r="32">
      <c r="A32" s="4" t="inlineStr">
        <is>
          <t>Chemical Cost per Tonne ($/t)</t>
        </is>
      </c>
      <c r="B32" s="23">
        <f>B6</f>
        <v/>
      </c>
    </row>
    <row r="33">
      <c r="A33" s="7" t="inlineStr">
        <is>
          <t>Total Chemical Cost ($/month)</t>
        </is>
      </c>
      <c r="B33" s="30">
        <f>IFERROR(B31*B32,0)</f>
        <v/>
      </c>
    </row>
  </sheetData>
  <mergeCells count="2">
    <mergeCell ref="A1:D1"/>
    <mergeCell ref="B9:D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6A6A"/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4" customWidth="1" min="4" max="4"/>
    <col width="18" customWidth="1" min="5" max="5"/>
    <col width="14" customWidth="1" min="6" max="6"/>
    <col width="16" customWidth="1" min="7" max="7"/>
    <col width="14" customWidth="1" min="8" max="8"/>
    <col width="50" customWidth="1" min="9" max="9"/>
  </cols>
  <sheetData>
    <row r="1">
      <c r="A1" s="8" t="inlineStr">
        <is>
          <t>STAGE 2 — CHEMICAL LIBRARY (FULL REFERENCE)</t>
        </is>
      </c>
    </row>
    <row r="3">
      <c r="A3" s="9" t="inlineStr">
        <is>
          <t>Chemical</t>
        </is>
      </c>
      <c r="B3" s="9" t="inlineStr">
        <is>
          <t>Function</t>
        </is>
      </c>
      <c r="C3" s="9" t="inlineStr">
        <is>
          <t>Dose Min (kg/t)</t>
        </is>
      </c>
      <c r="D3" s="9" t="inlineStr">
        <is>
          <t>Dose Max (kg/t)</t>
        </is>
      </c>
      <c r="E3" s="9" t="inlineStr">
        <is>
          <t>Cost ($/t substrate)</t>
        </is>
      </c>
      <c r="F3" s="9" t="inlineStr">
        <is>
          <t>pH Effect</t>
        </is>
      </c>
      <c r="G3" s="9" t="inlineStr">
        <is>
          <t>Lignin Reduction</t>
        </is>
      </c>
      <c r="H3" s="9" t="inlineStr">
        <is>
          <t>BSF Compatible</t>
        </is>
      </c>
      <c r="I3" s="9" t="inlineStr">
        <is>
          <t>Notes</t>
        </is>
      </c>
    </row>
    <row r="4">
      <c r="A4" s="10" t="inlineStr">
        <is>
          <t>PKSA</t>
        </is>
      </c>
      <c r="B4" s="10" t="inlineStr">
        <is>
          <t>Alkalinity / liming</t>
        </is>
      </c>
      <c r="C4" s="10" t="n">
        <v>6</v>
      </c>
      <c r="D4" s="10" t="n">
        <v>10</v>
      </c>
      <c r="E4" s="31" t="n">
        <v>0</v>
      </c>
      <c r="F4" s="10" t="inlineStr">
        <is>
          <t>10-12</t>
        </is>
      </c>
      <c r="G4" s="32" t="n">
        <v>0.325</v>
      </c>
      <c r="H4" s="10" t="inlineStr">
        <is>
          <t>Y</t>
        </is>
      </c>
      <c r="I4" s="10" t="inlineStr">
        <is>
          <t>Mill by-product. ZERO cost at mill gate (Guardrail 3).</t>
        </is>
      </c>
    </row>
    <row r="5">
      <c r="A5" s="10" t="inlineStr">
        <is>
          <t>CaCO3</t>
        </is>
      </c>
      <c r="B5" s="10" t="inlineStr">
        <is>
          <t>pH buffer</t>
        </is>
      </c>
      <c r="C5" s="10" t="n">
        <v>5</v>
      </c>
      <c r="D5" s="10" t="n">
        <v>15</v>
      </c>
      <c r="E5" s="31" t="n">
        <v>1.05</v>
      </c>
      <c r="F5" s="10" t="inlineStr">
        <is>
          <t>7.5-8.5</t>
        </is>
      </c>
      <c r="G5" s="32" t="n">
        <v>0.075</v>
      </c>
      <c r="H5" s="10" t="inlineStr">
        <is>
          <t>Y</t>
        </is>
      </c>
      <c r="I5" s="10" t="inlineStr">
        <is>
          <t>Mild buffer, food-grade available.</t>
        </is>
      </c>
    </row>
    <row r="6">
      <c r="A6" s="10" t="inlineStr">
        <is>
          <t>H2O2</t>
        </is>
      </c>
      <c r="B6" s="10" t="inlineStr">
        <is>
          <t>Oxidative delignification</t>
        </is>
      </c>
      <c r="C6" s="10" t="n">
        <v>2</v>
      </c>
      <c r="D6" s="10" t="n">
        <v>5</v>
      </c>
      <c r="E6" s="31" t="n">
        <v>3.5</v>
      </c>
      <c r="F6" s="10" t="inlineStr">
        <is>
          <t>neutral</t>
        </is>
      </c>
      <c r="G6" s="32" t="n">
        <v>0.175</v>
      </c>
      <c r="H6" s="10" t="inlineStr">
        <is>
          <t>Y</t>
        </is>
      </c>
      <c r="I6" s="10" t="inlineStr">
        <is>
          <t>Requires dosing control.</t>
        </is>
      </c>
    </row>
    <row r="7">
      <c r="A7" s="10" t="inlineStr">
        <is>
          <t>Urea</t>
        </is>
      </c>
      <c r="B7" s="10" t="inlineStr">
        <is>
          <t>N supplement / pH adjustment</t>
        </is>
      </c>
      <c r="C7" s="10" t="n">
        <v>3</v>
      </c>
      <c r="D7" s="10" t="n">
        <v>8</v>
      </c>
      <c r="E7" s="31" t="n">
        <v>0.9</v>
      </c>
      <c r="F7" s="10" t="inlineStr">
        <is>
          <t>+0.5-1.0</t>
        </is>
      </c>
      <c r="G7" s="32" t="n">
        <v>0</v>
      </c>
      <c r="H7" s="10" t="inlineStr">
        <is>
          <t>Y</t>
        </is>
      </c>
      <c r="I7" s="10" t="inlineStr">
        <is>
          <t>Raises pH slightly via ammonia.</t>
        </is>
      </c>
    </row>
    <row r="8">
      <c r="A8" s="10" t="inlineStr">
        <is>
          <t>Lime Ca(OH)2</t>
        </is>
      </c>
      <c r="B8" s="10" t="inlineStr">
        <is>
          <t>Alkalinity</t>
        </is>
      </c>
      <c r="C8" s="10" t="n">
        <v>5</v>
      </c>
      <c r="D8" s="10" t="n">
        <v>20</v>
      </c>
      <c r="E8" s="31" t="n">
        <v>0.8</v>
      </c>
      <c r="F8" s="10" t="inlineStr">
        <is>
          <t>11-13</t>
        </is>
      </c>
      <c r="G8" s="32" t="n">
        <v>0.25</v>
      </c>
      <c r="H8" s="10" t="inlineStr">
        <is>
          <t>Y</t>
        </is>
      </c>
      <c r="I8" s="10" t="inlineStr">
        <is>
          <t>Agricultural lime, widely available.</t>
        </is>
      </c>
    </row>
    <row r="9">
      <c r="A9" s="10" t="inlineStr">
        <is>
          <t>MgSO4</t>
        </is>
      </c>
      <c r="B9" s="10" t="inlineStr">
        <is>
          <t>Mg supplement</t>
        </is>
      </c>
      <c r="C9" s="10" t="n">
        <v>1</v>
      </c>
      <c r="D9" s="10" t="n">
        <v>3</v>
      </c>
      <c r="E9" s="31" t="n">
        <v>1.2</v>
      </c>
      <c r="F9" s="10" t="inlineStr">
        <is>
          <t>neutral</t>
        </is>
      </c>
      <c r="G9" s="32" t="n">
        <v>0</v>
      </c>
      <c r="H9" s="10" t="inlineStr">
        <is>
          <t>Y</t>
        </is>
      </c>
      <c r="I9" s="10" t="inlineStr">
        <is>
          <t>Epsom salt, foliar grade.</t>
        </is>
      </c>
    </row>
    <row r="10">
      <c r="A10" s="10" t="inlineStr">
        <is>
          <t>NPK 15-15-15</t>
        </is>
      </c>
      <c r="B10" s="10" t="inlineStr">
        <is>
          <t>Nutrient balance</t>
        </is>
      </c>
      <c r="C10" s="10" t="n">
        <v>2</v>
      </c>
      <c r="D10" s="10" t="n">
        <v>5</v>
      </c>
      <c r="E10" s="31" t="n">
        <v>4.5</v>
      </c>
      <c r="F10" s="10" t="inlineStr">
        <is>
          <t>slight drop</t>
        </is>
      </c>
      <c r="G10" s="32" t="n">
        <v>0</v>
      </c>
      <c r="H10" s="10" t="inlineStr">
        <is>
          <t>Y</t>
        </is>
      </c>
      <c r="I10" s="10" t="inlineStr">
        <is>
          <t>Compound fertiliser.</t>
        </is>
      </c>
    </row>
    <row r="11">
      <c r="A11" s="10" t="inlineStr">
        <is>
          <t>Molasses</t>
        </is>
      </c>
      <c r="B11" s="10" t="inlineStr">
        <is>
          <t>Carbon source / BSF attractant</t>
        </is>
      </c>
      <c r="C11" s="10" t="n">
        <v>5</v>
      </c>
      <c r="D11" s="10" t="n">
        <v>20</v>
      </c>
      <c r="E11" s="31" t="n">
        <v>6</v>
      </c>
      <c r="F11" s="10" t="inlineStr">
        <is>
          <t>drop</t>
        </is>
      </c>
      <c r="G11" s="32" t="n">
        <v>0</v>
      </c>
      <c r="H11" s="10" t="inlineStr">
        <is>
          <t>Y</t>
        </is>
      </c>
      <c r="I11" s="10" t="inlineStr">
        <is>
          <t>Sugarcane by-product.</t>
        </is>
      </c>
    </row>
    <row r="12">
      <c r="A12" s="10" t="inlineStr">
        <is>
          <t>PKSA+CaCO3</t>
        </is>
      </c>
      <c r="B12" s="10" t="inlineStr">
        <is>
          <t>Combined buffer</t>
        </is>
      </c>
      <c r="C12" s="10" t="n">
        <v>11</v>
      </c>
      <c r="D12" s="10" t="n">
        <v>11</v>
      </c>
      <c r="E12" s="31" t="n">
        <v>1.05</v>
      </c>
      <c r="F12" s="10" t="inlineStr">
        <is>
          <t>9-11</t>
        </is>
      </c>
      <c r="G12" s="32" t="n">
        <v>0.275</v>
      </c>
      <c r="H12" s="10" t="inlineStr">
        <is>
          <t>Y</t>
        </is>
      </c>
      <c r="I12" s="10" t="inlineStr">
        <is>
          <t>PKSA 6 + CaCO3 5 kg/t.</t>
        </is>
      </c>
    </row>
    <row r="13">
      <c r="A13" s="10" t="inlineStr">
        <is>
          <t>PKSA+H2O2+Urea</t>
        </is>
      </c>
      <c r="B13" s="10" t="inlineStr">
        <is>
          <t>Best overall treatment</t>
        </is>
      </c>
      <c r="C13" s="10" t="n">
        <v>16</v>
      </c>
      <c r="D13" s="10" t="n">
        <v>16</v>
      </c>
      <c r="E13" s="31" t="n">
        <v>6.4</v>
      </c>
      <c r="F13" s="10" t="inlineStr">
        <is>
          <t>10-12</t>
        </is>
      </c>
      <c r="G13" s="32" t="n">
        <v>0.375</v>
      </c>
      <c r="H13" s="10" t="inlineStr">
        <is>
          <t>Y</t>
        </is>
      </c>
      <c r="I13" s="10" t="inlineStr">
        <is>
          <t>PKSA 8 + H2O2 3 + Urea 5 kg/t.</t>
        </is>
      </c>
    </row>
    <row r="14">
      <c r="A14" s="33" t="inlineStr">
        <is>
          <t>NaOH</t>
        </is>
      </c>
      <c r="B14" s="33" t="inlineStr">
        <is>
          <t>Strong alkalinity</t>
        </is>
      </c>
      <c r="C14" s="33" t="n">
        <v>2</v>
      </c>
      <c r="D14" s="33" t="n">
        <v>10</v>
      </c>
      <c r="E14" s="34" t="n">
        <v>0.4</v>
      </c>
      <c r="F14" s="33" t="inlineStr">
        <is>
          <t>12-14</t>
        </is>
      </c>
      <c r="G14" s="35" t="n">
        <v>0.3</v>
      </c>
      <c r="H14" s="33" t="inlineStr">
        <is>
          <t>Y</t>
        </is>
      </c>
      <c r="I14" s="33" t="inlineStr">
        <is>
          <t>CAUSTIC. Full PPE required. See Guardrail 2.</t>
        </is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6" customWidth="1" min="3" max="3"/>
    <col width="42" customWidth="1" min="4" max="4"/>
  </cols>
  <sheetData>
    <row r="1">
      <c r="A1" s="8" t="inlineStr">
        <is>
          <t>STAGE 3 — BIOLOGICAL PRE-TREATMENT</t>
        </is>
      </c>
    </row>
    <row r="3">
      <c r="A3" s="3" t="inlineStr">
        <is>
          <t>CONSORTIUM RECIPE (from INPUTS)</t>
        </is>
      </c>
      <c r="B3" s="3" t="n"/>
      <c r="C3" s="3" t="n"/>
      <c r="D3" s="3" t="n"/>
    </row>
    <row r="4">
      <c r="A4" s="10" t="inlineStr">
        <is>
          <t>Organism 1</t>
        </is>
      </c>
      <c r="B4" s="6">
        <f>INPUTS!$B$21</f>
        <v/>
      </c>
      <c r="C4" s="6">
        <f>IFERROR(VLOOKUP(B4,S3_Biological_Library!$A$3:$J$20,5,FALSE),"")</f>
        <v/>
      </c>
      <c r="D4" s="6">
        <f>IFERROR(VLOOKUP(B4,S3_Biological_Library!$A$3:$J$20,3,FALSE),"")</f>
        <v/>
      </c>
    </row>
    <row r="5">
      <c r="A5" s="10" t="inlineStr">
        <is>
          <t>Organism 2</t>
        </is>
      </c>
      <c r="B5" s="6">
        <f>INPUTS!$B$22</f>
        <v/>
      </c>
      <c r="C5" s="6">
        <f>IFERROR(VLOOKUP(B5,S3_Biological_Library!$A$3:$J$20,5,FALSE),"")</f>
        <v/>
      </c>
      <c r="D5" s="6">
        <f>IFERROR(VLOOKUP(B5,S3_Biological_Library!$A$3:$J$20,3,FALSE),"")</f>
        <v/>
      </c>
    </row>
    <row r="6">
      <c r="A6" s="10" t="inlineStr">
        <is>
          <t>Organism 3</t>
        </is>
      </c>
      <c r="B6" s="6">
        <f>INPUTS!$B$23</f>
        <v/>
      </c>
      <c r="C6" s="6">
        <f>IFERROR(VLOOKUP(B6,S3_Biological_Library!$A$3:$J$20,5,FALSE),"")</f>
        <v/>
      </c>
      <c r="D6" s="6">
        <f>IFERROR(VLOOKUP(B6,S3_Biological_Library!$A$3:$J$20,3,FALSE),"")</f>
        <v/>
      </c>
    </row>
    <row r="7">
      <c r="A7" s="10" t="inlineStr">
        <is>
          <t>Organism 4</t>
        </is>
      </c>
      <c r="B7" s="6">
        <f>INPUTS!$B$24</f>
        <v/>
      </c>
      <c r="C7" s="6">
        <f>IFERROR(VLOOKUP(B7,S3_Biological_Library!$A$3:$J$20,5,FALSE),"")</f>
        <v/>
      </c>
      <c r="D7" s="6">
        <f>IFERROR(VLOOKUP(B7,S3_Biological_Library!$A$3:$J$20,3,FALSE),"")</f>
        <v/>
      </c>
    </row>
    <row r="8">
      <c r="A8" s="10" t="inlineStr">
        <is>
          <t>Organism 5</t>
        </is>
      </c>
      <c r="B8" s="6">
        <f>INPUTS!$B$25</f>
        <v/>
      </c>
      <c r="C8" s="6">
        <f>IFERROR(VLOOKUP(B8,S3_Biological_Library!$A$3:$J$20,5,FALSE),"")</f>
        <v/>
      </c>
      <c r="D8" s="6">
        <f>IFERROR(VLOOKUP(B8,S3_Biological_Library!$A$3:$J$20,3,FALSE),"")</f>
        <v/>
      </c>
    </row>
    <row r="10">
      <c r="A10" s="3" t="inlineStr">
        <is>
          <t>CONSORTIUM WAVE SCHEDULE</t>
        </is>
      </c>
      <c r="B10" s="3" t="n"/>
      <c r="C10" s="3" t="n"/>
      <c r="D10" s="3" t="n"/>
    </row>
    <row r="11">
      <c r="A11" s="36" t="inlineStr">
        <is>
          <t>WAVE 1 — Apply at Day 0</t>
        </is>
      </c>
      <c r="B11" s="10" t="inlineStr">
        <is>
          <t>All Wave 1 organisms applied simultaneously</t>
        </is>
      </c>
      <c r="D11" s="2" t="inlineStr">
        <is>
          <t>Concurrent-safe: Lacto, Saccharo, B.subtilis, B.amylo, Trichoderma</t>
        </is>
      </c>
    </row>
    <row r="12">
      <c r="A12" s="36" t="inlineStr">
        <is>
          <t>WAVE 2 — Apply at Day 3</t>
        </is>
      </c>
      <c r="B12" s="10" t="inlineStr">
        <is>
          <t>After initial pH drop from Wave 1 fermentation</t>
        </is>
      </c>
      <c r="D12" s="2" t="inlineStr">
        <is>
          <t>Aspergillus niger, Pleurotus, Phanerochaete</t>
        </is>
      </c>
    </row>
    <row r="13">
      <c r="A13" s="36" t="inlineStr">
        <is>
          <t>WAIT — Minimum 5 days total bio-treatment</t>
        </is>
      </c>
      <c r="B13" s="10" t="inlineStr">
        <is>
          <t>MANDATORY biological safety rule</t>
        </is>
      </c>
      <c r="D13" s="2" t="inlineStr">
        <is>
          <t>BSF inoculation NOT before Day 5</t>
        </is>
      </c>
    </row>
    <row r="15">
      <c r="A15" s="3" t="inlineStr">
        <is>
          <t>5-DAY BIOLOGICAL TREATMENT RULE (GUARDRAIL 6)</t>
        </is>
      </c>
      <c r="B15" s="3" t="n"/>
      <c r="C15" s="3" t="n"/>
      <c r="D15" s="3" t="n"/>
    </row>
    <row r="16">
      <c r="A16" s="4" t="inlineStr">
        <is>
          <t>Bio Treatment Days (from INPUTS)</t>
        </is>
      </c>
      <c r="B16" s="6">
        <f>IFERROR(INPUTS!$B$26,5)</f>
        <v/>
      </c>
    </row>
    <row r="17">
      <c r="A17" s="7" t="inlineStr">
        <is>
          <t>Minimum Required Days</t>
        </is>
      </c>
      <c r="B17" s="37" t="n">
        <v>5</v>
      </c>
    </row>
    <row r="18">
      <c r="A18" s="38" t="inlineStr">
        <is>
          <t>BSF INOCULATION STATUS</t>
        </is>
      </c>
      <c r="B18" s="39">
        <f>IF(B16&gt;=5,"READY - BSF inoculation permitted","NOT READY - Minimum 5 days required")</f>
        <v/>
      </c>
      <c r="C18" s="27" t="n"/>
      <c r="D18" s="28" t="n"/>
    </row>
    <row r="20">
      <c r="A20" s="3" t="inlineStr">
        <is>
          <t>PREDICTED IMPROVEMENTS FROM BIOLOGICALS</t>
        </is>
      </c>
      <c r="B20" s="3" t="n"/>
      <c r="C20" s="3" t="n"/>
      <c r="D20" s="3" t="n"/>
    </row>
    <row r="21">
      <c r="A21" s="4" t="inlineStr">
        <is>
          <t>Further Lignin Reduction (%)</t>
        </is>
      </c>
      <c r="B21" s="21" t="inlineStr">
        <is>
          <t>10-15%</t>
        </is>
      </c>
      <c r="D21" s="2" t="inlineStr">
        <is>
          <t>Additional to Stage 2 chemical reduction</t>
        </is>
      </c>
    </row>
    <row r="22">
      <c r="A22" s="4" t="inlineStr">
        <is>
          <t>C:N Improvement</t>
        </is>
      </c>
      <c r="B22" s="21" t="inlineStr">
        <is>
          <t>Target 15-25</t>
        </is>
      </c>
      <c r="D22" s="2" t="inlineStr">
        <is>
          <t>Optimal range for BSF feeding</t>
        </is>
      </c>
    </row>
    <row r="23">
      <c r="A23" s="4" t="inlineStr">
        <is>
          <t>Protein Enrichment</t>
        </is>
      </c>
      <c r="B23" s="21" t="inlineStr">
        <is>
          <t>+5-8% from microbial biomass</t>
        </is>
      </c>
    </row>
    <row r="25">
      <c r="A25" s="3" t="inlineStr">
        <is>
          <t>BSF YIELD UPLIFT FROM CONSORTIUM</t>
        </is>
      </c>
      <c r="B25" s="3" t="n"/>
      <c r="C25" s="3" t="n"/>
      <c r="D25" s="3" t="n"/>
    </row>
    <row r="26">
      <c r="A26" s="4" t="inlineStr">
        <is>
          <t>Consortium Configuration</t>
        </is>
      </c>
      <c r="B26" s="6">
        <f>INPUTS!$B$20</f>
        <v/>
      </c>
    </row>
    <row r="27">
      <c r="A27" s="7" t="inlineStr">
        <is>
          <t>Uplift Factor</t>
        </is>
      </c>
      <c r="B27" s="12">
        <f>IF(B26="None",1.0,IF(B26="Wave 1 Only",1.15,IF(OR(B26="Wave 1 + Wave 2",B26="Best 5 (Provibio + EM4)"),1.15,1.15)))</f>
        <v/>
      </c>
    </row>
    <row r="28">
      <c r="A28" s="7" t="inlineStr">
        <is>
          <t>Effective BSF FW Yield Multiplier</t>
        </is>
      </c>
      <c r="B28" s="40">
        <f>B27</f>
        <v/>
      </c>
    </row>
    <row r="30">
      <c r="A30" s="3" t="inlineStr">
        <is>
          <t>STAGE 3 COST CALCULATION</t>
        </is>
      </c>
      <c r="B30" s="3" t="n"/>
      <c r="C30" s="3" t="n"/>
      <c r="D30" s="3" t="n"/>
    </row>
    <row r="31">
      <c r="A31" s="4" t="inlineStr">
        <is>
          <t>Total Biological Cost ($/t substrate)</t>
        </is>
      </c>
      <c r="B31" s="41" t="n">
        <v>5.4</v>
      </c>
    </row>
    <row r="32">
      <c r="A32" s="4" t="inlineStr">
        <is>
          <t>Substrate Volume (t/month)</t>
        </is>
      </c>
      <c r="B32" s="13">
        <f>IFERROR(S1_Preprocessing!B12,0)</f>
        <v/>
      </c>
    </row>
    <row r="33">
      <c r="A33" s="7" t="inlineStr">
        <is>
          <t>Total Bio Cost ($/month)</t>
        </is>
      </c>
      <c r="B33" s="30">
        <f>IFERROR(B31*B32,0)</f>
        <v/>
      </c>
    </row>
  </sheetData>
  <mergeCells count="2">
    <mergeCell ref="A1:D1"/>
    <mergeCell ref="B18:D1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D6A6A"/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  <col width="20" customWidth="1" min="4" max="4"/>
    <col width="12" customWidth="1" min="5" max="5"/>
    <col width="14" customWidth="1" min="6" max="6"/>
    <col width="22" customWidth="1" min="7" max="7"/>
    <col width="16" customWidth="1" min="8" max="8"/>
    <col width="18" customWidth="1" min="9" max="9"/>
    <col width="14" customWidth="1" min="10" max="10"/>
  </cols>
  <sheetData>
    <row r="1">
      <c r="A1" s="8" t="inlineStr">
        <is>
          <t>STAGE 3 — BIOLOGICAL LIBRARY (FULL REFERENCE)</t>
        </is>
      </c>
    </row>
    <row r="3">
      <c r="A3" s="9" t="inlineStr">
        <is>
          <t>Organism</t>
        </is>
      </c>
      <c r="B3" s="9" t="inlineStr">
        <is>
          <t>Strain</t>
        </is>
      </c>
      <c r="C3" s="9" t="inlineStr">
        <is>
          <t>Function</t>
        </is>
      </c>
      <c r="D3" s="9" t="inlineStr">
        <is>
          <t>Application Rate</t>
        </is>
      </c>
      <c r="E3" s="9" t="inlineStr">
        <is>
          <t>Wave</t>
        </is>
      </c>
      <c r="F3" s="9" t="inlineStr">
        <is>
          <t>Consortium</t>
        </is>
      </c>
      <c r="G3" s="9" t="inlineStr">
        <is>
          <t>Target Substrate</t>
        </is>
      </c>
      <c r="H3" s="9" t="inlineStr">
        <is>
          <t>BSF Uplift %</t>
        </is>
      </c>
      <c r="I3" s="9" t="inlineStr">
        <is>
          <t>Cost ($/t)</t>
        </is>
      </c>
      <c r="J3" s="9" t="inlineStr">
        <is>
          <t>Source</t>
        </is>
      </c>
    </row>
    <row r="4">
      <c r="A4" s="10" t="inlineStr">
        <is>
          <t>Lactobacillus spp.</t>
        </is>
      </c>
      <c r="B4" s="10" t="inlineStr">
        <is>
          <t>EM4-LAB01</t>
        </is>
      </c>
      <c r="C4" s="10" t="inlineStr">
        <is>
          <t>Primary fermentation, pH reduction, pathogen suppression</t>
        </is>
      </c>
      <c r="D4" s="10" t="inlineStr">
        <is>
          <t>10 mL/kg substrate</t>
        </is>
      </c>
      <c r="E4" s="10" t="inlineStr">
        <is>
          <t>WAVE1</t>
        </is>
      </c>
      <c r="F4" s="10" t="inlineStr">
        <is>
          <t>Y</t>
        </is>
      </c>
      <c r="G4" s="10" t="inlineStr">
        <is>
          <t>Sugars, simple carbohydrates</t>
        </is>
      </c>
      <c r="H4" s="32" t="n">
        <v>3</v>
      </c>
      <c r="I4" s="31" t="n">
        <v>0.8</v>
      </c>
      <c r="J4" s="10" t="inlineStr">
        <is>
          <t>EM4</t>
        </is>
      </c>
    </row>
    <row r="5">
      <c r="A5" s="10" t="inlineStr">
        <is>
          <t>Saccharomyces cerevisiae</t>
        </is>
      </c>
      <c r="B5" s="10" t="inlineStr">
        <is>
          <t>EM4-SC01</t>
        </is>
      </c>
      <c r="C5" s="10" t="inlineStr">
        <is>
          <t>Yeast fermentation, ethanol production, nutrient release</t>
        </is>
      </c>
      <c r="D5" s="10" t="inlineStr">
        <is>
          <t>5 mL/kg substrate</t>
        </is>
      </c>
      <c r="E5" s="10" t="inlineStr">
        <is>
          <t>WAVE1</t>
        </is>
      </c>
      <c r="F5" s="10" t="inlineStr">
        <is>
          <t>Y</t>
        </is>
      </c>
      <c r="G5" s="10" t="inlineStr">
        <is>
          <t>Sugars, starches</t>
        </is>
      </c>
      <c r="H5" s="32" t="n">
        <v>2</v>
      </c>
      <c r="I5" s="31" t="n">
        <v>0.6</v>
      </c>
      <c r="J5" s="10" t="inlineStr">
        <is>
          <t>EM4</t>
        </is>
      </c>
    </row>
    <row r="6">
      <c r="A6" s="10" t="inlineStr">
        <is>
          <t>Bacillus subtilis</t>
        </is>
      </c>
      <c r="B6" s="10" t="inlineStr">
        <is>
          <t>PV-BS01</t>
        </is>
      </c>
      <c r="C6" s="10" t="inlineStr">
        <is>
          <t>Cellulase production, protein enrichment, pathogen suppression</t>
        </is>
      </c>
      <c r="D6" s="10" t="inlineStr">
        <is>
          <t>5 g/kg substrate</t>
        </is>
      </c>
      <c r="E6" s="10" t="inlineStr">
        <is>
          <t>WAVE1</t>
        </is>
      </c>
      <c r="F6" s="10" t="inlineStr">
        <is>
          <t>Y</t>
        </is>
      </c>
      <c r="G6" s="10" t="inlineStr">
        <is>
          <t>Cellulose, hemicellulose</t>
        </is>
      </c>
      <c r="H6" s="32" t="n">
        <v>4</v>
      </c>
      <c r="I6" s="31" t="n">
        <v>1.2</v>
      </c>
      <c r="J6" s="10" t="inlineStr">
        <is>
          <t>Provibio</t>
        </is>
      </c>
    </row>
    <row r="7">
      <c r="A7" s="10" t="inlineStr">
        <is>
          <t>Bacillus amyloliquefaciens</t>
        </is>
      </c>
      <c r="B7" s="10" t="inlineStr">
        <is>
          <t>PV-BA01</t>
        </is>
      </c>
      <c r="C7" s="10" t="inlineStr">
        <is>
          <t>Amylase, protease production, nutrient mineralisation</t>
        </is>
      </c>
      <c r="D7" s="10" t="inlineStr">
        <is>
          <t>5 g/kg substrate</t>
        </is>
      </c>
      <c r="E7" s="10" t="inlineStr">
        <is>
          <t>WAVE1</t>
        </is>
      </c>
      <c r="F7" s="10" t="inlineStr">
        <is>
          <t>Y</t>
        </is>
      </c>
      <c r="G7" s="10" t="inlineStr">
        <is>
          <t>Starch, protein complexes</t>
        </is>
      </c>
      <c r="H7" s="32" t="n">
        <v>3.5</v>
      </c>
      <c r="I7" s="31" t="n">
        <v>1.3</v>
      </c>
      <c r="J7" s="10" t="inlineStr">
        <is>
          <t>Provibio</t>
        </is>
      </c>
    </row>
    <row r="8">
      <c r="A8" s="10" t="inlineStr">
        <is>
          <t>Trichoderma harzianum</t>
        </is>
      </c>
      <c r="B8" s="10" t="inlineStr">
        <is>
          <t>PV-TH01</t>
        </is>
      </c>
      <c r="C8" s="10" t="inlineStr">
        <is>
          <t>Cellulase / ligninase, bio-control, substrate conditioning</t>
        </is>
      </c>
      <c r="D8" s="10" t="inlineStr">
        <is>
          <t>8 g/kg substrate</t>
        </is>
      </c>
      <c r="E8" s="10" t="inlineStr">
        <is>
          <t>WAVE1</t>
        </is>
      </c>
      <c r="F8" s="10" t="inlineStr">
        <is>
          <t>Y</t>
        </is>
      </c>
      <c r="G8" s="10" t="inlineStr">
        <is>
          <t>Cellulose, lignin</t>
        </is>
      </c>
      <c r="H8" s="32" t="n">
        <v>4.5</v>
      </c>
      <c r="I8" s="31" t="n">
        <v>1.5</v>
      </c>
      <c r="J8" s="10" t="inlineStr">
        <is>
          <t>Provibio</t>
        </is>
      </c>
    </row>
    <row r="9">
      <c r="A9" s="10" t="inlineStr">
        <is>
          <t>Aspergillus niger</t>
        </is>
      </c>
      <c r="B9" s="10" t="inlineStr">
        <is>
          <t>PV-AN01</t>
        </is>
      </c>
      <c r="C9" s="10" t="inlineStr">
        <is>
          <t>Phosphate solubilisation, citric acid production</t>
        </is>
      </c>
      <c r="D9" s="10" t="inlineStr">
        <is>
          <t>5 g/kg substrate</t>
        </is>
      </c>
      <c r="E9" s="10" t="inlineStr">
        <is>
          <t>WAVE2</t>
        </is>
      </c>
      <c r="F9" s="10" t="inlineStr">
        <is>
          <t>Y</t>
        </is>
      </c>
      <c r="G9" s="10" t="inlineStr">
        <is>
          <t>Phosphate minerals, cellulose</t>
        </is>
      </c>
      <c r="H9" s="32" t="n">
        <v>2.5</v>
      </c>
      <c r="I9" s="31" t="n">
        <v>1.1</v>
      </c>
      <c r="J9" s="10" t="inlineStr">
        <is>
          <t>Provibio</t>
        </is>
      </c>
    </row>
    <row r="10">
      <c r="A10" s="10" t="inlineStr">
        <is>
          <t>Pleurotus ostreatus</t>
        </is>
      </c>
      <c r="B10" s="10" t="inlineStr">
        <is>
          <t>PV-PO01</t>
        </is>
      </c>
      <c r="C10" s="10" t="inlineStr">
        <is>
          <t>White-rot lignin degradation, laccase production</t>
        </is>
      </c>
      <c r="D10" s="10" t="inlineStr">
        <is>
          <t>10 g/kg substrate</t>
        </is>
      </c>
      <c r="E10" s="10" t="inlineStr">
        <is>
          <t>WAVE2</t>
        </is>
      </c>
      <c r="F10" s="10" t="inlineStr">
        <is>
          <t>Y</t>
        </is>
      </c>
      <c r="G10" s="10" t="inlineStr">
        <is>
          <t>Lignin, aromatic compounds</t>
        </is>
      </c>
      <c r="H10" s="32" t="n">
        <v>3</v>
      </c>
      <c r="I10" s="31" t="n">
        <v>2</v>
      </c>
      <c r="J10" s="10" t="inlineStr">
        <is>
          <t>Provibio</t>
        </is>
      </c>
    </row>
    <row r="11">
      <c r="A11" s="10" t="inlineStr">
        <is>
          <t>Phanerochaete chrysosporium</t>
        </is>
      </c>
      <c r="B11" s="10" t="inlineStr">
        <is>
          <t>PV-PC01</t>
        </is>
      </c>
      <c r="C11" s="10" t="inlineStr">
        <is>
          <t>White-rot, high lignin peroxidase activity</t>
        </is>
      </c>
      <c r="D11" s="10" t="inlineStr">
        <is>
          <t>8 g/kg substrate</t>
        </is>
      </c>
      <c r="E11" s="10" t="inlineStr">
        <is>
          <t>WAVE2</t>
        </is>
      </c>
      <c r="F11" s="10" t="inlineStr">
        <is>
          <t>Y</t>
        </is>
      </c>
      <c r="G11" s="10" t="inlineStr">
        <is>
          <t>Recalcitrant lignin</t>
        </is>
      </c>
      <c r="H11" s="32" t="n">
        <v>3.5</v>
      </c>
      <c r="I11" s="31" t="n">
        <v>2.5</v>
      </c>
      <c r="J11" s="10" t="inlineStr">
        <is>
          <t>Provibio</t>
        </is>
      </c>
    </row>
    <row r="12">
      <c r="A12" s="33" t="inlineStr">
        <is>
          <t>Bacillus thuringiensis</t>
        </is>
      </c>
      <c r="B12" s="33" t="inlineStr">
        <is>
          <t>PV-BT01</t>
        </is>
      </c>
      <c r="C12" s="33" t="inlineStr">
        <is>
          <t>Insecticidal protein (Cry toxins), pest bio-control</t>
        </is>
      </c>
      <c r="D12" s="33" t="inlineStr">
        <is>
          <t>5 g/kg substrate</t>
        </is>
      </c>
      <c r="E12" s="33" t="inlineStr">
        <is>
          <t>CAUTION</t>
        </is>
      </c>
      <c r="F12" s="33" t="inlineStr">
        <is>
          <t>CAUTION</t>
        </is>
      </c>
      <c r="G12" s="33" t="inlineStr">
        <is>
          <t>Lepidoptera, some Diptera larvae</t>
        </is>
      </c>
      <c r="H12" s="35" t="n">
        <v>0</v>
      </c>
      <c r="I12" s="34" t="n">
        <v>1.8</v>
      </c>
      <c r="J12" s="33" t="inlineStr">
        <is>
          <t>Provibio</t>
        </is>
      </c>
    </row>
    <row r="13">
      <c r="A13" s="33" t="inlineStr">
        <is>
          <t>Beauveria bassiana</t>
        </is>
      </c>
      <c r="B13" s="33" t="inlineStr">
        <is>
          <t>PV-BB01</t>
        </is>
      </c>
      <c r="C13" s="33" t="inlineStr">
        <is>
          <t>Entomopathogenic fungus, pest bio-control</t>
        </is>
      </c>
      <c r="D13" s="33" t="inlineStr">
        <is>
          <t>5 g/kg substrate</t>
        </is>
      </c>
      <c r="E13" s="33" t="inlineStr">
        <is>
          <t>CAUTION</t>
        </is>
      </c>
      <c r="F13" s="33" t="inlineStr">
        <is>
          <t>CAUTION</t>
        </is>
      </c>
      <c r="G13" s="33" t="inlineStr">
        <is>
          <t>Broad-spectrum insect pathogen</t>
        </is>
      </c>
      <c r="H13" s="35" t="n">
        <v>0</v>
      </c>
      <c r="I13" s="34" t="n">
        <v>2.2</v>
      </c>
      <c r="J13" s="33" t="inlineStr">
        <is>
          <t>Provibio</t>
        </is>
      </c>
    </row>
    <row r="14">
      <c r="A14" s="10" t="inlineStr">
        <is>
          <t>Rhodopseudomonas palustris</t>
        </is>
      </c>
      <c r="B14" s="10" t="inlineStr">
        <is>
          <t>EM4-RP01</t>
        </is>
      </c>
      <c r="C14" s="10" t="inlineStr">
        <is>
          <t>Photosynthetic N fixation, organic acid metabolism</t>
        </is>
      </c>
      <c r="D14" s="10" t="inlineStr">
        <is>
          <t>10 mL/kg substrate</t>
        </is>
      </c>
      <c r="E14" s="10" t="inlineStr">
        <is>
          <t>WAVE1</t>
        </is>
      </c>
      <c r="F14" s="10" t="inlineStr">
        <is>
          <t>Y</t>
        </is>
      </c>
      <c r="G14" s="10" t="inlineStr">
        <is>
          <t>Organic acids, N-fixation</t>
        </is>
      </c>
      <c r="H14" s="32" t="n">
        <v>2</v>
      </c>
      <c r="I14" s="31" t="n">
        <v>0.9</v>
      </c>
      <c r="J14" s="10" t="inlineStr">
        <is>
          <t>EM4</t>
        </is>
      </c>
    </row>
    <row r="15">
      <c r="A15" s="10" t="inlineStr">
        <is>
          <t>Actinomycetes spp.</t>
        </is>
      </c>
      <c r="B15" s="10" t="inlineStr">
        <is>
          <t>EM4-AC01</t>
        </is>
      </c>
      <c r="C15" s="10" t="inlineStr">
        <is>
          <t>Chitin degradation, antibiotic production, humus formation</t>
        </is>
      </c>
      <c r="D15" s="10" t="inlineStr">
        <is>
          <t>5 mL/kg substrate</t>
        </is>
      </c>
      <c r="E15" s="10" t="inlineStr">
        <is>
          <t>WAVE1</t>
        </is>
      </c>
      <c r="F15" s="10" t="inlineStr">
        <is>
          <t>Y</t>
        </is>
      </c>
      <c r="G15" s="10" t="inlineStr">
        <is>
          <t>Chitin, complex organics</t>
        </is>
      </c>
      <c r="H15" s="32" t="n">
        <v>1.5</v>
      </c>
      <c r="I15" s="31" t="n">
        <v>0.7</v>
      </c>
      <c r="J15" s="10" t="inlineStr">
        <is>
          <t>EM4</t>
        </is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4" customWidth="1" min="3" max="3"/>
    <col width="42" customWidth="1" min="4" max="4"/>
  </cols>
  <sheetData>
    <row r="1">
      <c r="A1" s="8" t="inlineStr">
        <is>
          <t>STAGE 4 — BSF REARING &amp; GROW-OUT</t>
        </is>
      </c>
    </row>
    <row r="3">
      <c r="A3" s="3" t="inlineStr">
        <is>
          <t>INOCULATION PARAMETERS</t>
        </is>
      </c>
      <c r="B3" s="3" t="n"/>
      <c r="C3" s="3" t="n"/>
      <c r="D3" s="3" t="n"/>
    </row>
    <row r="4">
      <c r="A4" s="10" t="inlineStr">
        <is>
          <t>Inoculation Density (neonates/m2)</t>
        </is>
      </c>
      <c r="B4" s="20">
        <f>INPUTS!$B$28</f>
        <v/>
      </c>
      <c r="C4" s="2" t="inlineStr">
        <is>
          <t>neonates/m2</t>
        </is>
      </c>
    </row>
    <row r="5">
      <c r="A5" s="10" t="inlineStr">
        <is>
          <t>Rearing Area (m2)</t>
        </is>
      </c>
      <c r="B5" s="20">
        <f>INPUTS!$B$29</f>
        <v/>
      </c>
      <c r="C5" s="2" t="inlineStr">
        <is>
          <t>m2</t>
        </is>
      </c>
    </row>
    <row r="6">
      <c r="A6" s="10" t="inlineStr">
        <is>
          <t>Total Neonates Required</t>
        </is>
      </c>
      <c r="B6" s="20">
        <f>IFERROR(B4*B5,0)</f>
        <v/>
      </c>
      <c r="C6" s="2" t="inlineStr">
        <is>
          <t>neonates</t>
        </is>
      </c>
    </row>
    <row r="7">
      <c r="A7" s="10" t="inlineStr">
        <is>
          <t>Neonate Cost ($/1000)</t>
        </is>
      </c>
      <c r="B7" s="23">
        <f>INPUTS!$B$31</f>
        <v/>
      </c>
      <c r="C7" s="2" t="inlineStr">
        <is>
          <t>$</t>
        </is>
      </c>
    </row>
    <row r="8">
      <c r="A8" s="10" t="inlineStr">
        <is>
          <t>Total Neonate Cost ($/batch)</t>
        </is>
      </c>
      <c r="B8" s="23">
        <f>IFERROR(B6*B7/1000,0)</f>
        <v/>
      </c>
      <c r="C8" s="2" t="inlineStr">
        <is>
          <t>$</t>
        </is>
      </c>
    </row>
    <row r="10">
      <c r="A10" s="3" t="inlineStr">
        <is>
          <t>ENVIRONMENTAL PARAMETERS (from BSF research)</t>
        </is>
      </c>
      <c r="B10" s="3" t="n"/>
      <c r="C10" s="3" t="n"/>
      <c r="D10" s="3" t="n"/>
    </row>
    <row r="11">
      <c r="A11" s="10" t="inlineStr">
        <is>
          <t>Temperature Optimal</t>
        </is>
      </c>
      <c r="B11" s="10" t="inlineStr">
        <is>
          <t>27-30</t>
        </is>
      </c>
      <c r="C11" s="2" t="inlineStr">
        <is>
          <t>C</t>
        </is>
      </c>
      <c r="D11" s="2" t="inlineStr">
        <is>
          <t>Stop below 20C, above 40C</t>
        </is>
      </c>
    </row>
    <row r="12">
      <c r="A12" s="10" t="inlineStr">
        <is>
          <t>Relative Humidity</t>
        </is>
      </c>
      <c r="B12" s="10" t="inlineStr">
        <is>
          <t>60-70</t>
        </is>
      </c>
      <c r="C12" s="2" t="inlineStr">
        <is>
          <t>%RH</t>
        </is>
      </c>
      <c r="D12" s="2" t="inlineStr">
        <is>
          <t>Larval rearing tray humidity</t>
        </is>
      </c>
    </row>
    <row r="13">
      <c r="A13" s="10" t="inlineStr">
        <is>
          <t>Substrate pH</t>
        </is>
      </c>
      <c r="B13" s="10" t="inlineStr">
        <is>
          <t>6.5-7.0</t>
        </is>
      </c>
      <c r="C13" s="2" t="inlineStr">
        <is>
          <t>pH</t>
        </is>
      </c>
      <c r="D13" s="2" t="inlineStr">
        <is>
          <t>Range: 6.0-7.5</t>
        </is>
      </c>
    </row>
    <row r="14">
      <c r="A14" s="10" t="inlineStr">
        <is>
          <t>Light Regime</t>
        </is>
      </c>
      <c r="B14" s="10" t="inlineStr">
        <is>
          <t>No direct sunlight. Exclude UV. 12hr dark cycle.</t>
        </is>
      </c>
      <c r="C14" s="2" t="inlineStr"/>
      <c r="D14" s="2" t="inlineStr"/>
    </row>
    <row r="15">
      <c r="A15" s="10" t="inlineStr">
        <is>
          <t>Substrate C:N Optimal</t>
        </is>
      </c>
      <c r="B15" s="10" t="inlineStr">
        <is>
          <t>15-25</t>
        </is>
      </c>
      <c r="C15" s="2" t="inlineStr"/>
      <c r="D15" s="2" t="inlineStr">
        <is>
          <t>Post-treatment target</t>
        </is>
      </c>
    </row>
    <row r="16">
      <c r="A16" s="10" t="inlineStr">
        <is>
          <t>Substrate Moisture</t>
        </is>
      </c>
      <c r="B16" s="10" t="inlineStr">
        <is>
          <t>60-70</t>
        </is>
      </c>
      <c r="C16" s="2" t="inlineStr">
        <is>
          <t>%</t>
        </is>
      </c>
      <c r="D16" s="2" t="inlineStr">
        <is>
          <t>Active feeding moisture</t>
        </is>
      </c>
    </row>
    <row r="18">
      <c r="A18" s="3" t="inlineStr">
        <is>
          <t>BSF YIELD CALCULATIONS</t>
        </is>
      </c>
      <c r="B18" s="3" t="n"/>
      <c r="C18" s="3" t="n"/>
      <c r="D18" s="3" t="n"/>
    </row>
    <row r="19">
      <c r="A19" s="4" t="inlineStr">
        <is>
          <t>Grow-out Days (from INPUTS)</t>
        </is>
      </c>
      <c r="B19" s="6">
        <f>INPUTS!$B$30</f>
        <v/>
      </c>
    </row>
    <row r="20">
      <c r="A20" s="4" t="inlineStr">
        <is>
          <t>Day 6 Baseline Yield (kg FW / t substrate)</t>
        </is>
      </c>
      <c r="B20" s="21" t="n">
        <v>70</v>
      </c>
    </row>
    <row r="21">
      <c r="A21" s="4" t="inlineStr">
        <is>
          <t>Day 18 Maximum Yield (kg FW / t substrate)</t>
        </is>
      </c>
      <c r="B21" s="21" t="n">
        <v>140</v>
      </c>
    </row>
    <row r="22">
      <c r="A22" s="7" t="inlineStr">
        <is>
          <t>BSF FW Yield (kg/t substrate) — BASELINE</t>
        </is>
      </c>
      <c r="B22" s="16">
        <f>IFERROR(B20+(B19-6)/12*(B21-B20),0)</f>
        <v/>
      </c>
    </row>
    <row r="23">
      <c r="A23" s="4" t="inlineStr">
        <is>
          <t>Consortium Uplift Factor</t>
        </is>
      </c>
      <c r="B23" s="12">
        <f>IFERROR(S3_Biological_Treatment!B28,1.0)</f>
        <v/>
      </c>
    </row>
    <row r="24">
      <c r="A24" s="38" t="inlineStr">
        <is>
          <t>BSF FW Yield (kg/t substrate) — WITH UPLIFT</t>
        </is>
      </c>
      <c r="B24" s="42">
        <f>IFERROR(B22*B23,0)</f>
        <v/>
      </c>
    </row>
    <row r="26">
      <c r="A26" s="3" t="inlineStr">
        <is>
          <t>MONTHLY PRODUCTION</t>
        </is>
      </c>
      <c r="B26" s="3" t="n"/>
      <c r="C26" s="3" t="n"/>
      <c r="D26" s="3" t="n"/>
    </row>
    <row r="27">
      <c r="A27" s="4" t="inlineStr">
        <is>
          <t>Substrate Processed (t/month)</t>
        </is>
      </c>
      <c r="B27" s="13">
        <f>IFERROR(S1_Preprocessing!B12,0)</f>
        <v/>
      </c>
    </row>
    <row r="28">
      <c r="A28" s="7" t="inlineStr">
        <is>
          <t>BSF Fresh Weight (t/month)</t>
        </is>
      </c>
      <c r="B28" s="16">
        <f>IFERROR(B27*B24/1000,0)</f>
        <v/>
      </c>
    </row>
    <row r="29">
      <c r="A29" s="4" t="inlineStr">
        <is>
          <t>BSF Dry Matter (t/month) @ 35% DM</t>
        </is>
      </c>
      <c r="B29" s="12">
        <f>IFERROR(B28*0.35,0)</f>
        <v/>
      </c>
    </row>
    <row r="30">
      <c r="A30" s="4" t="inlineStr">
        <is>
          <t>Crude Fat in DM (t/month) @ 23%</t>
        </is>
      </c>
      <c r="B30" s="12">
        <f>IFERROR(B29*0.23,0)</f>
        <v/>
      </c>
    </row>
    <row r="31">
      <c r="A31" s="4" t="inlineStr">
        <is>
          <t>Extractable Oil (t/month) @ 85% press efficiency</t>
        </is>
      </c>
      <c r="B31" s="12">
        <f>IFERROR(B30*0.85,0)</f>
        <v/>
      </c>
    </row>
    <row r="32">
      <c r="A32" s="4" t="inlineStr">
        <is>
          <t>Defatted Meal (t/month)</t>
        </is>
      </c>
      <c r="B32" s="12">
        <f>IFERROR(B29-B30,0)</f>
        <v/>
      </c>
    </row>
    <row r="33">
      <c r="A33" s="4" t="inlineStr">
        <is>
          <t>Chitin in DM (t/month) @ 9.3%</t>
        </is>
      </c>
      <c r="B33" s="19">
        <f>IFERROR(B29*0.09300000000000001,0)</f>
        <v/>
      </c>
    </row>
    <row r="34">
      <c r="A34" s="4" t="inlineStr">
        <is>
          <t>Frass/Residue Mass (t/month)</t>
        </is>
      </c>
      <c r="B34" s="13">
        <f>IFERROR(B27*(1-B24*1.15/1000),0)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35" customWidth="1" min="4" max="4"/>
  </cols>
  <sheetData>
    <row r="1">
      <c r="A1" s="8" t="inlineStr">
        <is>
          <t>STAGE 4 — BSF PRE-PUPAE COMPOSITION</t>
        </is>
      </c>
    </row>
    <row r="3">
      <c r="A3" s="3" t="inlineStr">
        <is>
          <t>FRESH WEIGHT (FW) BASIS — from CFI Lab Analysis</t>
        </is>
      </c>
      <c r="B3" s="3" t="n"/>
      <c r="C3" s="3" t="n"/>
      <c r="D3" s="3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Source</t>
        </is>
      </c>
    </row>
    <row r="5">
      <c r="A5" s="43" t="inlineStr">
        <is>
          <t>Moisture</t>
        </is>
      </c>
      <c r="B5" s="44" t="n">
        <v>65</v>
      </c>
      <c r="C5" s="17" t="inlineStr">
        <is>
          <t>%</t>
        </is>
      </c>
      <c r="D5" s="17" t="inlineStr">
        <is>
          <t>CFI Lab Analysis</t>
        </is>
      </c>
    </row>
    <row r="6">
      <c r="A6" s="43" t="inlineStr">
        <is>
          <t>Dry Matter</t>
        </is>
      </c>
      <c r="B6" s="44" t="n">
        <v>35</v>
      </c>
      <c r="C6" s="17" t="inlineStr">
        <is>
          <t>%</t>
        </is>
      </c>
      <c r="D6" s="17" t="inlineStr">
        <is>
          <t>CFI Lab Analysis</t>
        </is>
      </c>
    </row>
    <row r="7">
      <c r="A7" s="43" t="inlineStr">
        <is>
          <t>Crude Protein (FW)</t>
        </is>
      </c>
      <c r="B7" s="44" t="n">
        <v>36</v>
      </c>
      <c r="C7" s="17" t="inlineStr">
        <is>
          <t>% FW</t>
        </is>
      </c>
      <c r="D7" s="17" t="inlineStr">
        <is>
          <t>CFI Lab Analysis</t>
        </is>
      </c>
    </row>
    <row r="8">
      <c r="A8" s="43" t="inlineStr">
        <is>
          <t>Fat / Crude Lipid (FW)</t>
        </is>
      </c>
      <c r="B8" s="44" t="n">
        <v>8</v>
      </c>
      <c r="C8" s="17" t="inlineStr">
        <is>
          <t>% FW</t>
        </is>
      </c>
      <c r="D8" s="17" t="inlineStr">
        <is>
          <t>CFI Lab Analysis</t>
        </is>
      </c>
    </row>
    <row r="9">
      <c r="A9" s="43" t="inlineStr">
        <is>
          <t>Chitin (FW)</t>
        </is>
      </c>
      <c r="B9" s="44" t="n">
        <v>3.3</v>
      </c>
      <c r="C9" s="17" t="inlineStr">
        <is>
          <t>% FW</t>
        </is>
      </c>
      <c r="D9" s="17" t="inlineStr">
        <is>
          <t>CFI Lab Analysis</t>
        </is>
      </c>
    </row>
    <row r="10">
      <c r="A10" s="43" t="inlineStr">
        <is>
          <t>Ash (FW)</t>
        </is>
      </c>
      <c r="B10" s="44" t="n">
        <v>3.5</v>
      </c>
      <c r="C10" s="17" t="inlineStr">
        <is>
          <t>% FW</t>
        </is>
      </c>
      <c r="D10" s="17" t="inlineStr">
        <is>
          <t>CFI Lab Analysis</t>
        </is>
      </c>
    </row>
    <row r="12">
      <c r="A12" s="3" t="inlineStr">
        <is>
          <t>DEFATTED MEAL COMPOSITION (DM BASIS)</t>
        </is>
      </c>
      <c r="B12" s="3" t="n"/>
      <c r="C12" s="3" t="n"/>
      <c r="D12" s="3" t="n"/>
    </row>
    <row r="13">
      <c r="A13" s="43" t="inlineStr">
        <is>
          <t>Crude Protein (defatted)</t>
        </is>
      </c>
      <c r="B13" s="44" t="n">
        <v>51</v>
      </c>
      <c r="C13" s="17" t="inlineStr">
        <is>
          <t>% DM</t>
        </is>
      </c>
      <c r="D13" s="17" t="inlineStr">
        <is>
          <t>CFI Lab Analysis</t>
        </is>
      </c>
    </row>
    <row r="14">
      <c r="A14" s="43" t="inlineStr">
        <is>
          <t>Chitin</t>
        </is>
      </c>
      <c r="B14" s="44" t="n">
        <v>9.300000000000001</v>
      </c>
      <c r="C14" s="17" t="inlineStr">
        <is>
          <t>% DM</t>
        </is>
      </c>
      <c r="D14" s="17" t="inlineStr">
        <is>
          <t>CFI Lab Analysis</t>
        </is>
      </c>
    </row>
    <row r="15">
      <c r="A15" s="43" t="inlineStr">
        <is>
          <t>Ash</t>
        </is>
      </c>
      <c r="B15" s="44" t="n">
        <v>10</v>
      </c>
      <c r="C15" s="17" t="inlineStr">
        <is>
          <t>% DM</t>
        </is>
      </c>
      <c r="D15" s="17" t="inlineStr">
        <is>
          <t>CFI Lab Analysis</t>
        </is>
      </c>
    </row>
    <row r="17">
      <c r="A17" s="3" t="inlineStr">
        <is>
          <t>AMINO ACID PROFILE (reference)</t>
        </is>
      </c>
      <c r="B17" s="3" t="n"/>
      <c r="C17" s="3" t="n"/>
      <c r="D17" s="3" t="n"/>
    </row>
    <row r="18">
      <c r="A18" s="10" t="inlineStr">
        <is>
          <t>Methionine</t>
        </is>
      </c>
      <c r="B18" s="45" t="n">
        <v>2.1</v>
      </c>
      <c r="C18" s="2" t="inlineStr">
        <is>
          <t>% CP</t>
        </is>
      </c>
    </row>
    <row r="19">
      <c r="A19" s="10" t="inlineStr">
        <is>
          <t>Lysine</t>
        </is>
      </c>
      <c r="B19" s="45" t="n">
        <v>6.6</v>
      </c>
      <c r="C19" s="2" t="inlineStr">
        <is>
          <t>% CP</t>
        </is>
      </c>
    </row>
    <row r="20">
      <c r="A20" s="10" t="inlineStr">
        <is>
          <t>Threonine</t>
        </is>
      </c>
      <c r="B20" s="45" t="n">
        <v>3.7</v>
      </c>
      <c r="C20" s="2" t="inlineStr">
        <is>
          <t>% CP</t>
        </is>
      </c>
    </row>
    <row r="21">
      <c r="A21" s="10" t="inlineStr">
        <is>
          <t>Leucine</t>
        </is>
      </c>
      <c r="B21" s="45" t="n">
        <v>7.2</v>
      </c>
      <c r="C21" s="2" t="inlineStr">
        <is>
          <t>% CP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5A — FRASS / COMPOST PATHWAY</t>
        </is>
      </c>
    </row>
    <row r="3">
      <c r="A3" s="3" t="inlineStr">
        <is>
          <t>FRASS MASS BALANCE</t>
        </is>
      </c>
      <c r="B3" s="3" t="n"/>
      <c r="C3" s="3" t="n"/>
      <c r="D3" s="3" t="n"/>
    </row>
    <row r="4">
      <c r="A4" s="4" t="inlineStr">
        <is>
          <t>Substrate Input (t/month)</t>
        </is>
      </c>
      <c r="B4" s="13">
        <f>IFERROR(S4_BSF_Rearing!B27,0)</f>
        <v/>
      </c>
    </row>
    <row r="5">
      <c r="A5" s="4" t="inlineStr">
        <is>
          <t>BSF FW Yield (kg/t substrate)</t>
        </is>
      </c>
      <c r="B5" s="13">
        <f>IFERROR(S4_BSF_Rearing!B24,0)</f>
        <v/>
      </c>
    </row>
    <row r="6">
      <c r="A6" s="38" t="inlineStr">
        <is>
          <t>Frass Mass (t/month)</t>
        </is>
      </c>
      <c r="B6" s="42">
        <f>IFERROR(B4*(1000-B5*1.15)/1000,0)</f>
        <v/>
      </c>
    </row>
    <row r="8">
      <c r="A8" s="3" t="inlineStr">
        <is>
          <t>FRASS COMPOSITION (from research data)</t>
        </is>
      </c>
      <c r="B8" s="3" t="n"/>
      <c r="C8" s="3" t="n"/>
      <c r="D8" s="3" t="n"/>
    </row>
    <row r="9">
      <c r="A9" s="10" t="inlineStr">
        <is>
          <t>N%</t>
        </is>
      </c>
      <c r="B9" s="45" t="n">
        <v>2.5</v>
      </c>
      <c r="D9" s="2" t="inlineStr">
        <is>
          <t>Enriched from BSF metabolism</t>
        </is>
      </c>
    </row>
    <row r="10">
      <c r="A10" s="10" t="inlineStr">
        <is>
          <t>P%</t>
        </is>
      </c>
      <c r="B10" s="45" t="n">
        <v>1.8</v>
      </c>
      <c r="D10" s="2" t="inlineStr">
        <is>
          <t>Concentrated via larval processing</t>
        </is>
      </c>
    </row>
    <row r="11">
      <c r="A11" s="10" t="inlineStr">
        <is>
          <t>K%</t>
        </is>
      </c>
      <c r="B11" s="45" t="n">
        <v>2</v>
      </c>
      <c r="D11" s="2" t="inlineStr">
        <is>
          <t>Retained from substrate</t>
        </is>
      </c>
    </row>
    <row r="12">
      <c r="A12" s="10" t="inlineStr">
        <is>
          <t>OM%</t>
        </is>
      </c>
      <c r="B12" s="45" t="n">
        <v>65</v>
      </c>
      <c r="D12" s="2" t="inlineStr">
        <is>
          <t>Post-bioconversion organic matter</t>
        </is>
      </c>
    </row>
    <row r="13">
      <c r="A13" s="10" t="inlineStr">
        <is>
          <t>pH</t>
        </is>
      </c>
      <c r="B13" s="45" t="n">
        <v>7</v>
      </c>
      <c r="D13" s="2" t="inlineStr">
        <is>
          <t>Near neutral</t>
        </is>
      </c>
    </row>
    <row r="14">
      <c r="A14" s="10" t="inlineStr">
        <is>
          <t>Moisture%</t>
        </is>
      </c>
      <c r="B14" s="45" t="n">
        <v>35</v>
      </c>
      <c r="D14" s="2" t="inlineStr">
        <is>
          <t>Post-screening moisture</t>
        </is>
      </c>
    </row>
    <row r="15">
      <c r="A15" s="10" t="inlineStr">
        <is>
          <t>C:N ratio</t>
        </is>
      </c>
      <c r="B15" s="45" t="n">
        <v>12</v>
      </c>
      <c r="D15" s="2" t="inlineStr">
        <is>
          <t>Excellent for soil application</t>
        </is>
      </c>
    </row>
    <row r="17">
      <c r="A17" s="3" t="inlineStr">
        <is>
          <t>FERTILISER VALUE — NPK vs SYNTHETIC EQUIVALENT</t>
        </is>
      </c>
      <c r="B17" s="3" t="n"/>
      <c r="C17" s="3" t="n"/>
      <c r="D17" s="3" t="n"/>
    </row>
    <row r="18">
      <c r="A18" s="4" t="inlineStr">
        <is>
          <t>Frass N content (t N/month)</t>
        </is>
      </c>
      <c r="B18" s="12">
        <f>IFERROR(B6*2.5/100,0)</f>
        <v/>
      </c>
    </row>
    <row r="19">
      <c r="A19" s="4" t="inlineStr">
        <is>
          <t>Frass P content (t P/month)</t>
        </is>
      </c>
      <c r="B19" s="12">
        <f>IFERROR(B6*1.8/100,0)</f>
        <v/>
      </c>
    </row>
    <row r="20">
      <c r="A20" s="4" t="inlineStr">
        <is>
          <t>Frass K content (t K/month)</t>
        </is>
      </c>
      <c r="B20" s="12">
        <f>IFERROR(B6*2.0/100,0)</f>
        <v/>
      </c>
    </row>
    <row r="22">
      <c r="A22" s="3" t="inlineStr">
        <is>
          <t>SOIL TYPE ADJUSTED APPLICATION</t>
        </is>
      </c>
      <c r="B22" s="3" t="n"/>
      <c r="C22" s="3" t="n"/>
      <c r="D22" s="3" t="n"/>
    </row>
    <row r="23">
      <c r="A23" s="4" t="inlineStr">
        <is>
          <t>Target Soil (from INPUTS)</t>
        </is>
      </c>
      <c r="B23" s="6">
        <f>INPUTS!$B$34</f>
        <v/>
      </c>
    </row>
    <row r="24">
      <c r="A24" s="4" t="inlineStr">
        <is>
          <t>Recommended Application Rate</t>
        </is>
      </c>
      <c r="B24" s="21" t="inlineStr">
        <is>
          <t>5-10 t/ha/yr</t>
        </is>
      </c>
      <c r="D24" s="2" t="inlineStr">
        <is>
          <t>Varies by soil type and palm age</t>
        </is>
      </c>
    </row>
    <row r="26">
      <c r="A26" s="3" t="inlineStr">
        <is>
          <t>FRASS PRODUCT VALUE</t>
        </is>
      </c>
      <c r="B26" s="3" t="n"/>
      <c r="C26" s="3" t="n"/>
      <c r="D26" s="3" t="n"/>
    </row>
    <row r="27">
      <c r="A27" s="4" t="inlineStr">
        <is>
          <t>Frass Price ($/t)</t>
        </is>
      </c>
      <c r="B27" s="46" t="n">
        <v>80</v>
      </c>
    </row>
    <row r="28">
      <c r="A28" s="7" t="inlineStr">
        <is>
          <t>Frass Revenue ($/month)</t>
        </is>
      </c>
      <c r="B28" s="30">
        <f>IFERROR(B6*B27,0)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5B — BSF LARVAL EXTRACTION</t>
        </is>
      </c>
    </row>
    <row r="3">
      <c r="A3" s="3" t="inlineStr">
        <is>
          <t>LARVAE SEPARATION</t>
        </is>
      </c>
      <c r="B3" s="3" t="n"/>
      <c r="C3" s="3" t="n"/>
      <c r="D3" s="3" t="n"/>
    </row>
    <row r="4">
      <c r="A4" s="10" t="inlineStr">
        <is>
          <t>BSF Fresh Weight (t/month)</t>
        </is>
      </c>
      <c r="B4" s="12">
        <f>IFERROR(S4_BSF_Rearing!B28,0)</f>
        <v/>
      </c>
      <c r="D4" s="2" t="inlineStr">
        <is>
          <t>From Stage 4</t>
        </is>
      </c>
    </row>
    <row r="5">
      <c r="A5" s="10" t="inlineStr">
        <is>
          <t>Separation Method</t>
        </is>
      </c>
      <c r="B5" s="47" t="inlineStr">
        <is>
          <t>Mechanical sieving + thermal</t>
        </is>
      </c>
      <c r="D5" s="2" t="inlineStr">
        <is>
          <t>Industry standard</t>
        </is>
      </c>
    </row>
    <row r="6">
      <c r="A6" s="10" t="inlineStr">
        <is>
          <t>Separation Efficiency</t>
        </is>
      </c>
      <c r="B6" s="47" t="inlineStr">
        <is>
          <t>95%</t>
        </is>
      </c>
      <c r="D6" s="2" t="inlineStr">
        <is>
          <t>Fresh larvae recovery</t>
        </is>
      </c>
    </row>
    <row r="7">
      <c r="A7" s="10" t="inlineStr">
        <is>
          <t>Recovered Larvae (t/month)</t>
        </is>
      </c>
      <c r="B7" s="12">
        <f>IFERROR(B4*0.95,0)</f>
        <v/>
      </c>
      <c r="D7" s="2" t="inlineStr">
        <is>
          <t>Post-separation</t>
        </is>
      </c>
    </row>
    <row r="9">
      <c r="A9" s="3" t="inlineStr">
        <is>
          <t>OIL EXTRACTION</t>
        </is>
      </c>
      <c r="B9" s="3" t="n"/>
      <c r="C9" s="3" t="n"/>
      <c r="D9" s="3" t="n"/>
    </row>
    <row r="10">
      <c r="A10" s="10" t="inlineStr">
        <is>
          <t>BSF DM (t/month)</t>
        </is>
      </c>
      <c r="B10" s="12">
        <f>IFERROR(S4_BSF_Rearing!B29,0)</f>
        <v/>
      </c>
    </row>
    <row r="11">
      <c r="A11" s="10" t="inlineStr">
        <is>
          <t>Crude Fat in DM (t/month)</t>
        </is>
      </c>
      <c r="B11" s="12">
        <f>IFERROR(S4_BSF_Rearing!B30,0)</f>
        <v/>
      </c>
    </row>
    <row r="12">
      <c r="A12" s="10" t="inlineStr">
        <is>
          <t>Oil Press Efficiency</t>
        </is>
      </c>
      <c r="B12" s="47" t="inlineStr">
        <is>
          <t>85%</t>
        </is>
      </c>
    </row>
    <row r="13">
      <c r="A13" s="10" t="inlineStr">
        <is>
          <t>Extracted Oil (t/month)</t>
        </is>
      </c>
      <c r="B13" s="12">
        <f>IFERROR(S4_BSF_Rearing!B31,0)</f>
        <v/>
      </c>
    </row>
    <row r="14">
      <c r="A14" s="10" t="inlineStr">
        <is>
          <t>Oil Residue / Press Cake (t/month)</t>
        </is>
      </c>
      <c r="B14" s="12">
        <f>IFERROR(B11-B13,0)</f>
        <v/>
      </c>
    </row>
    <row r="16">
      <c r="A16" s="3" t="inlineStr">
        <is>
          <t>DEFATTED MEAL</t>
        </is>
      </c>
      <c r="B16" s="3" t="n"/>
      <c r="C16" s="3" t="n"/>
      <c r="D16" s="3" t="n"/>
    </row>
    <row r="17">
      <c r="A17" s="7" t="inlineStr">
        <is>
          <t>Defatted Meal (t/month)</t>
        </is>
      </c>
      <c r="B17" s="40">
        <f>IFERROR(S4_BSF_Rearing!B32,0)</f>
        <v/>
      </c>
    </row>
    <row r="18">
      <c r="A18" s="4" t="inlineStr">
        <is>
          <t>Crude Protein in Meal (%)</t>
        </is>
      </c>
      <c r="B18" s="21" t="n">
        <v>51</v>
      </c>
    </row>
    <row r="20">
      <c r="A20" s="3" t="inlineStr">
        <is>
          <t>CHITIN RECOVERY (OPTIONAL)</t>
        </is>
      </c>
      <c r="B20" s="3" t="n"/>
      <c r="C20" s="3" t="n"/>
      <c r="D20" s="3" t="n"/>
    </row>
    <row r="21">
      <c r="A21" s="4" t="inlineStr">
        <is>
          <t>Chitin in DM (t/month)</t>
        </is>
      </c>
      <c r="B21" s="19">
        <f>IFERROR(S4_BSF_Rearing!B33,0)</f>
        <v/>
      </c>
    </row>
    <row r="22">
      <c r="A22" s="4" t="inlineStr">
        <is>
          <t>Chitin Recovery Feasible</t>
        </is>
      </c>
      <c r="B22" s="21" t="inlineStr">
        <is>
          <t>Optional — requires chemical deproteination</t>
        </is>
      </c>
      <c r="D22" s="48" t="inlineStr">
        <is>
          <t>Flag: not included in base-case revenue</t>
        </is>
      </c>
    </row>
    <row r="24">
      <c r="A24" s="3" t="inlineStr">
        <is>
          <t>STAGE 5B PROCESSING COSTS</t>
        </is>
      </c>
      <c r="B24" s="3" t="n"/>
      <c r="C24" s="3" t="n"/>
      <c r="D24" s="3" t="n"/>
    </row>
    <row r="25">
      <c r="A25" s="10" t="inlineStr">
        <is>
          <t>Drying Cost ($/t FW larvae)</t>
        </is>
      </c>
      <c r="B25" s="46" t="n">
        <v>25</v>
      </c>
    </row>
    <row r="26">
      <c r="A26" s="10" t="inlineStr">
        <is>
          <t>Oil Pressing Cost ($/t DM)</t>
        </is>
      </c>
      <c r="B26" s="46" t="n">
        <v>40</v>
      </c>
    </row>
    <row r="27">
      <c r="A27" s="10" t="inlineStr">
        <is>
          <t>Separation Cost ($/t FW)</t>
        </is>
      </c>
      <c r="B27" s="46" t="n">
        <v>15</v>
      </c>
    </row>
    <row r="28">
      <c r="A28" s="10" t="inlineStr">
        <is>
          <t>Packaging / Storage ($/t product)</t>
        </is>
      </c>
      <c r="B28" s="46" t="n">
        <v>20</v>
      </c>
    </row>
    <row r="29">
      <c r="A29" s="7" t="inlineStr">
        <is>
          <t>Total Processing Cost ($/month)</t>
        </is>
      </c>
      <c r="B29" s="22">
        <f>IFERROR(B25*S4_BSF_Rearing!B28+B26*S4_BSF_Rearing!B29+B27*S4_BSF_Rearing!B28+B28*(S4_BSF_Rearing!B32+S4_BSF_Rearing!B31),0)</f>
        <v/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30" customWidth="1" min="5" max="5"/>
  </cols>
  <sheetData>
    <row r="1">
      <c r="A1" s="8" t="inlineStr">
        <is>
          <t>STAGE 6 — PRODUCT VALUATION BY CERTIFICATION TIER</t>
        </is>
      </c>
    </row>
    <row r="2">
      <c r="A2" s="7" t="inlineStr">
        <is>
          <t>Selected Certification Tier:</t>
        </is>
      </c>
      <c r="B2" s="6">
        <f>INPUTS!$B$33</f>
        <v/>
      </c>
    </row>
    <row r="4">
      <c r="A4" s="3" t="inlineStr">
        <is>
          <t>INSECT MEAL VALUATION</t>
        </is>
      </c>
      <c r="B4" s="3" t="n"/>
      <c r="C4" s="3" t="n"/>
      <c r="D4" s="3" t="n"/>
      <c r="E4" s="3" t="n"/>
    </row>
    <row r="5">
      <c r="A5" s="9" t="inlineStr">
        <is>
          <t>Product</t>
        </is>
      </c>
      <c r="B5" s="9" t="inlineStr">
        <is>
          <t>Mass (t/month)</t>
        </is>
      </c>
      <c r="C5" s="9" t="inlineStr">
        <is>
          <t>Price ($/t)</t>
        </is>
      </c>
      <c r="D5" s="9" t="inlineStr">
        <is>
          <t>Revenue ($/month)</t>
        </is>
      </c>
      <c r="E5" s="9" t="inlineStr">
        <is>
          <t>Notes</t>
        </is>
      </c>
    </row>
    <row r="6">
      <c r="A6" s="10" t="inlineStr">
        <is>
          <t>Defatted Insect Meal</t>
        </is>
      </c>
      <c r="B6" s="12">
        <f>IFERROR(S5B_BSF_Extraction!B17,0)</f>
        <v/>
      </c>
      <c r="C6" s="22">
        <f>IF(INPUTS!$B$33="None",1200,IF(INPUTS!$B$33="FSSC 22000",3500,IF(INPUTS!$B$33="ISO 22716",4500,1200)))</f>
        <v/>
      </c>
      <c r="D6" s="30">
        <f>IFERROR(B6*C6,0)</f>
        <v/>
      </c>
      <c r="E6" s="2" t="inlineStr">
        <is>
          <t>Guardrail 4: verified price ranges</t>
        </is>
      </c>
    </row>
    <row r="7">
      <c r="A7" s="2" t="inlineStr">
        <is>
          <t xml:space="preserve">  Price Range: None</t>
        </is>
      </c>
      <c r="C7" s="49" t="inlineStr">
        <is>
          <t>$1200/t</t>
        </is>
      </c>
    </row>
    <row r="8">
      <c r="A8" s="2" t="inlineStr">
        <is>
          <t xml:space="preserve">  Price Range: FSSC 22000</t>
        </is>
      </c>
      <c r="C8" s="49" t="inlineStr">
        <is>
          <t>$3500-5000/t</t>
        </is>
      </c>
    </row>
    <row r="9">
      <c r="A9" s="2" t="inlineStr">
        <is>
          <t xml:space="preserve">  Price Range: ISO 22716 Premium</t>
        </is>
      </c>
      <c r="C9" s="49" t="inlineStr">
        <is>
          <t>$4500-6500/t</t>
        </is>
      </c>
    </row>
    <row r="11">
      <c r="A11" s="3" t="inlineStr">
        <is>
          <t>INSECT OIL VALUATION</t>
        </is>
      </c>
      <c r="B11" s="3" t="n"/>
      <c r="C11" s="3" t="n"/>
      <c r="D11" s="3" t="n"/>
      <c r="E11" s="3" t="n"/>
    </row>
    <row r="12">
      <c r="A12" s="9" t="inlineStr">
        <is>
          <t>Product</t>
        </is>
      </c>
      <c r="B12" s="9" t="inlineStr">
        <is>
          <t>Mass (t/month)</t>
        </is>
      </c>
      <c r="C12" s="9" t="inlineStr">
        <is>
          <t>Price ($/t)</t>
        </is>
      </c>
      <c r="D12" s="9" t="inlineStr">
        <is>
          <t>Revenue ($/month)</t>
        </is>
      </c>
      <c r="E12" s="9" t="inlineStr">
        <is>
          <t>Notes</t>
        </is>
      </c>
    </row>
    <row r="13">
      <c r="A13" s="10" t="inlineStr">
        <is>
          <t>Insect Oil</t>
        </is>
      </c>
      <c r="B13" s="12">
        <f>IFERROR(S5B_BSF_Extraction!B13,0)</f>
        <v/>
      </c>
      <c r="C13" s="22">
        <f>IF(INPUTS!$B$33="None",900,IF(INPUTS!$B$33="FSSC 22000",3500,IF(INPUTS!$B$33="ISO 22716",9000,900)))</f>
        <v/>
      </c>
      <c r="D13" s="30">
        <f>IFERROR(B13*C13,0)</f>
        <v/>
      </c>
    </row>
    <row r="14">
      <c r="A14" s="2" t="inlineStr">
        <is>
          <t xml:space="preserve">  Feed grade (None)</t>
        </is>
      </c>
      <c r="C14" s="49" t="inlineStr">
        <is>
          <t>$900-1200/t</t>
        </is>
      </c>
    </row>
    <row r="15">
      <c r="A15" s="2" t="inlineStr">
        <is>
          <t xml:space="preserve">  FSSC 22000</t>
        </is>
      </c>
      <c r="C15" s="49" t="inlineStr">
        <is>
          <t>$3500-6000/t</t>
        </is>
      </c>
    </row>
    <row r="16">
      <c r="A16" s="2" t="inlineStr">
        <is>
          <t xml:space="preserve">  ISO 22716 (Pharma lipid)</t>
        </is>
      </c>
      <c r="C16" s="49" t="inlineStr">
        <is>
          <t>$9000-18000/t</t>
        </is>
      </c>
      <c r="E16" s="50" t="inlineStr">
        <is>
          <t>FSSC/ISO unlocks 3-9x oil uplift</t>
        </is>
      </c>
    </row>
    <row r="18">
      <c r="A18" s="3" t="inlineStr">
        <is>
          <t>FRASS FERTILISER VALUATION</t>
        </is>
      </c>
      <c r="B18" s="3" t="n"/>
      <c r="C18" s="3" t="n"/>
      <c r="D18" s="3" t="n"/>
      <c r="E18" s="3" t="n"/>
    </row>
    <row r="19">
      <c r="A19" s="10" t="inlineStr">
        <is>
          <t>Frass Fertiliser</t>
        </is>
      </c>
      <c r="B19" s="13">
        <f>IFERROR(S5A_Frass_Pathway!B6,0)</f>
        <v/>
      </c>
      <c r="C19" s="46" t="n">
        <v>80</v>
      </c>
      <c r="D19" s="30">
        <f>IFERROR(B19*C19,0)</f>
        <v/>
      </c>
    </row>
    <row r="21">
      <c r="A21" s="3" t="inlineStr">
        <is>
          <t>CHITIN VALUATION (OPTIONAL)</t>
        </is>
      </c>
      <c r="B21" s="3" t="n"/>
      <c r="C21" s="3" t="n"/>
      <c r="D21" s="3" t="n"/>
      <c r="E21" s="3" t="n"/>
    </row>
    <row r="22">
      <c r="A22" s="10" t="inlineStr">
        <is>
          <t>Chitin (if extracted)</t>
        </is>
      </c>
      <c r="B22" s="19">
        <f>IFERROR(S4_BSF_Rearing!B33,0)</f>
        <v/>
      </c>
      <c r="C22" s="46" t="n">
        <v>15000</v>
      </c>
      <c r="D22" s="22">
        <f>IFERROR(B22*C22,0)</f>
        <v/>
      </c>
      <c r="E22" s="49" t="inlineStr">
        <is>
          <t>Range: $15,000-25,000/t</t>
        </is>
      </c>
    </row>
    <row r="24">
      <c r="A24" s="3" t="inlineStr">
        <is>
          <t>TOTAL REVENUE SUMMARY</t>
        </is>
      </c>
      <c r="B24" s="3" t="n"/>
      <c r="C24" s="3" t="n"/>
      <c r="D24" s="3" t="n"/>
      <c r="E24" s="3" t="n"/>
    </row>
    <row r="25">
      <c r="A25" s="38" t="inlineStr">
        <is>
          <t>Total Monthly Revenue (excl. chitin)</t>
        </is>
      </c>
      <c r="B25" s="51">
        <f>IFERROR(D6+D13+D19,0)</f>
        <v/>
      </c>
      <c r="C25" s="27" t="n"/>
      <c r="D25" s="28" t="n"/>
    </row>
    <row r="26">
      <c r="A26" s="7" t="inlineStr">
        <is>
          <t>Total Monthly Revenue (incl. chitin)</t>
        </is>
      </c>
      <c r="B26" s="22">
        <f>IFERROR(B25+D22,0)</f>
        <v/>
      </c>
      <c r="C26" s="27" t="n"/>
      <c r="D26" s="28" t="n"/>
    </row>
    <row r="27">
      <c r="A27" s="38" t="inlineStr">
        <is>
          <t>Total Annual Revenue (excl. chitin)</t>
        </is>
      </c>
      <c r="B27" s="51">
        <f>IFERROR(B25*12,0)</f>
        <v/>
      </c>
      <c r="C27" s="27" t="n"/>
      <c r="D27" s="28" t="n"/>
    </row>
  </sheetData>
  <mergeCells count="4">
    <mergeCell ref="B26:D26"/>
    <mergeCell ref="B27:D27"/>
    <mergeCell ref="B25:D25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4A017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8" t="inlineStr">
        <is>
          <t>CFI BIOCONVERSION — EXECUTIVE SUMMARY DASHBOARD</t>
        </is>
      </c>
    </row>
    <row r="3">
      <c r="A3" s="3" t="inlineStr">
        <is>
          <t>KEY INPUTS</t>
        </is>
      </c>
      <c r="B3" s="3" t="n"/>
      <c r="C3" s="3" t="n"/>
      <c r="D3" s="3" t="n"/>
      <c r="E3" s="3" t="n"/>
    </row>
    <row r="4">
      <c r="A4" s="10" t="inlineStr">
        <is>
          <t>FFB Mill Capacity</t>
        </is>
      </c>
      <c r="B4" s="6">
        <f>INPUTS!$B$4</f>
        <v/>
      </c>
      <c r="C4" s="2" t="inlineStr">
        <is>
          <t>TPH</t>
        </is>
      </c>
    </row>
    <row r="5">
      <c r="A5" s="10" t="inlineStr">
        <is>
          <t>Blend Ratio (EFB:OPDC)</t>
        </is>
      </c>
      <c r="B5" s="6">
        <f>INPUTS!$B$9&amp;":"&amp;INPUTS!$B$10</f>
        <v/>
      </c>
      <c r="C5" s="2" t="inlineStr"/>
    </row>
    <row r="6">
      <c r="A6" s="10" t="inlineStr">
        <is>
          <t>BSF Grow Days</t>
        </is>
      </c>
      <c r="B6" s="6">
        <f>INPUTS!$B$30</f>
        <v/>
      </c>
      <c r="C6" s="2" t="inlineStr">
        <is>
          <t>days</t>
        </is>
      </c>
    </row>
    <row r="7">
      <c r="A7" s="10" t="inlineStr">
        <is>
          <t>Certification Tier</t>
        </is>
      </c>
      <c r="B7" s="6">
        <f>INPUTS!$B$33</f>
        <v/>
      </c>
      <c r="C7" s="2" t="inlineStr"/>
    </row>
    <row r="8">
      <c r="A8" s="10" t="inlineStr">
        <is>
          <t>Rearing Area</t>
        </is>
      </c>
      <c r="B8" s="6">
        <f>INPUTS!$B$29</f>
        <v/>
      </c>
      <c r="C8" s="2" t="inlineStr">
        <is>
          <t>m2</t>
        </is>
      </c>
    </row>
    <row r="10">
      <c r="A10" s="3" t="inlineStr">
        <is>
          <t>MONTHLY PRODUCTION</t>
        </is>
      </c>
      <c r="B10" s="3" t="n"/>
      <c r="C10" s="3" t="n"/>
      <c r="D10" s="3" t="n"/>
      <c r="E10" s="3" t="n"/>
    </row>
    <row r="11">
      <c r="A11" s="10" t="inlineStr">
        <is>
          <t>Total Substrate Processed</t>
        </is>
      </c>
      <c r="B11" s="12">
        <f>IFERROR(S1_Preprocessing!B12,0)</f>
        <v/>
      </c>
      <c r="C11" s="2" t="inlineStr">
        <is>
          <t>t/month</t>
        </is>
      </c>
    </row>
    <row r="12">
      <c r="A12" s="10" t="inlineStr">
        <is>
          <t>BSF Fresh Weight</t>
        </is>
      </c>
      <c r="B12" s="12">
        <f>IFERROR(S4_BSF_Rearing!B28,0)</f>
        <v/>
      </c>
      <c r="C12" s="2" t="inlineStr">
        <is>
          <t>t/month</t>
        </is>
      </c>
    </row>
    <row r="13">
      <c r="A13" s="10" t="inlineStr">
        <is>
          <t>BSF Dry Matter</t>
        </is>
      </c>
      <c r="B13" s="12">
        <f>IFERROR(S4_BSF_Rearing!B29,0)</f>
        <v/>
      </c>
      <c r="C13" s="2" t="inlineStr">
        <is>
          <t>t/month</t>
        </is>
      </c>
    </row>
    <row r="14">
      <c r="A14" s="10" t="inlineStr">
        <is>
          <t>Insect Meal (defatted)</t>
        </is>
      </c>
      <c r="B14" s="12">
        <f>IFERROR(S4_BSF_Rearing!B32,0)</f>
        <v/>
      </c>
      <c r="C14" s="2" t="inlineStr">
        <is>
          <t>t/month</t>
        </is>
      </c>
    </row>
    <row r="15">
      <c r="A15" s="10" t="inlineStr">
        <is>
          <t>Insect Oil</t>
        </is>
      </c>
      <c r="B15" s="12">
        <f>IFERROR(S4_BSF_Rearing!B31,0)</f>
        <v/>
      </c>
      <c r="C15" s="2" t="inlineStr">
        <is>
          <t>t/month</t>
        </is>
      </c>
    </row>
    <row r="16">
      <c r="A16" s="10" t="inlineStr">
        <is>
          <t>Frass / Compost</t>
        </is>
      </c>
      <c r="B16" s="12">
        <f>IFERROR(S5A_Frass_Pathway!B6,0)</f>
        <v/>
      </c>
      <c r="C16" s="2" t="inlineStr">
        <is>
          <t>t/month</t>
        </is>
      </c>
    </row>
    <row r="17">
      <c r="A17" s="10" t="inlineStr">
        <is>
          <t>Chitin (optional)</t>
        </is>
      </c>
      <c r="B17" s="12">
        <f>IFERROR(S4_BSF_Rearing!B33,0)</f>
        <v/>
      </c>
      <c r="C17" s="2" t="inlineStr">
        <is>
          <t>t/month</t>
        </is>
      </c>
    </row>
    <row r="19">
      <c r="A19" s="3" t="inlineStr">
        <is>
          <t>REVENUE SUMMARY</t>
        </is>
      </c>
      <c r="B19" s="3" t="n"/>
      <c r="C19" s="3" t="n"/>
      <c r="D19" s="3" t="n"/>
      <c r="E19" s="3" t="n"/>
    </row>
    <row r="20">
      <c r="A20" s="9" t="inlineStr">
        <is>
          <t>Revenue Stream</t>
        </is>
      </c>
      <c r="B20" s="9" t="inlineStr">
        <is>
          <t>Monthly ($)</t>
        </is>
      </c>
      <c r="C20" s="9" t="inlineStr">
        <is>
          <t>Annual ($)</t>
        </is>
      </c>
      <c r="D20" s="9" t="inlineStr">
        <is>
          <t>% of Total</t>
        </is>
      </c>
    </row>
    <row r="21">
      <c r="A21" s="10" t="inlineStr">
        <is>
          <t>Insect Meal</t>
        </is>
      </c>
      <c r="B21" s="22">
        <f>IFERROR(S6_Product_Valuation!D6,0)</f>
        <v/>
      </c>
      <c r="C21" s="22">
        <f>IFERROR(B21*12,0)</f>
        <v/>
      </c>
      <c r="D21" s="24">
        <f>IFERROR(B21/B24,0)</f>
        <v/>
      </c>
    </row>
    <row r="22">
      <c r="A22" s="10" t="inlineStr">
        <is>
          <t>Insect Oil</t>
        </is>
      </c>
      <c r="B22" s="22">
        <f>IFERROR(S6_Product_Valuation!D13,0)</f>
        <v/>
      </c>
      <c r="C22" s="22">
        <f>IFERROR(B22*12,0)</f>
        <v/>
      </c>
      <c r="D22" s="24">
        <f>IFERROR(B22/B24,0)</f>
        <v/>
      </c>
    </row>
    <row r="23">
      <c r="A23" s="10" t="inlineStr">
        <is>
          <t>Frass Fertiliser</t>
        </is>
      </c>
      <c r="B23" s="22">
        <f>IFERROR(S6_Product_Valuation!D19,0)</f>
        <v/>
      </c>
      <c r="C23" s="22">
        <f>IFERROR(B23*12,0)</f>
        <v/>
      </c>
      <c r="D23" s="24">
        <f>IFERROR(B23/B24,0)</f>
        <v/>
      </c>
    </row>
    <row r="24">
      <c r="A24" s="38" t="inlineStr">
        <is>
          <t>TOTAL REVENUE</t>
        </is>
      </c>
      <c r="B24" s="51">
        <f>IFERROR(SUM(B21:B23),0)</f>
        <v/>
      </c>
      <c r="C24" s="51">
        <f>IFERROR(B24*12,0)</f>
        <v/>
      </c>
      <c r="D24" s="7" t="inlineStr">
        <is>
          <t>100%</t>
        </is>
      </c>
    </row>
    <row r="26">
      <c r="A26" s="3" t="inlineStr">
        <is>
          <t>COST BREAKDOWN BY STAGE</t>
        </is>
      </c>
      <c r="B26" s="3" t="n"/>
      <c r="C26" s="3" t="n"/>
      <c r="D26" s="3" t="n"/>
      <c r="E26" s="3" t="n"/>
    </row>
    <row r="27">
      <c r="A27" s="10" t="inlineStr">
        <is>
          <t>Stage 1: Preprocessing</t>
        </is>
      </c>
      <c r="B27" s="22">
        <f>IFERROR(S1_Preprocessing!B35,0)</f>
        <v/>
      </c>
      <c r="C27" s="22">
        <f>IFERROR(B27*12,0)</f>
        <v/>
      </c>
    </row>
    <row r="28">
      <c r="A28" s="10" t="inlineStr">
        <is>
          <t>Stage 2: Chemical Treatment</t>
        </is>
      </c>
      <c r="B28" s="22">
        <f>IFERROR(S2_Chemical_Treatment!B33,0)</f>
        <v/>
      </c>
      <c r="C28" s="22">
        <f>IFERROR(B28*12,0)</f>
        <v/>
      </c>
    </row>
    <row r="29">
      <c r="A29" s="10" t="inlineStr">
        <is>
          <t>Stage 3: Biological Treatment</t>
        </is>
      </c>
      <c r="B29" s="22">
        <f>IFERROR(S3_Biological_Treatment!B33,0)</f>
        <v/>
      </c>
      <c r="C29" s="22">
        <f>IFERROR(B29*12,0)</f>
        <v/>
      </c>
    </row>
    <row r="30">
      <c r="A30" s="10" t="inlineStr">
        <is>
          <t>Stage 4: BSF Neonates</t>
        </is>
      </c>
      <c r="B30" s="22">
        <f>IFERROR(S4_BSF_Rearing!B8,0)</f>
        <v/>
      </c>
      <c r="C30" s="22">
        <f>IFERROR(B30*12,0)</f>
        <v/>
      </c>
    </row>
    <row r="31">
      <c r="A31" s="10" t="inlineStr">
        <is>
          <t>Stage 5B: Processing</t>
        </is>
      </c>
      <c r="B31" s="22">
        <f>IFERROR(S5B_BSF_Extraction!B29,0)</f>
        <v/>
      </c>
      <c r="C31" s="22">
        <f>IFERROR(B31*12,0)</f>
        <v/>
      </c>
    </row>
    <row r="32">
      <c r="A32" s="38" t="inlineStr">
        <is>
          <t>TOTAL COSTS</t>
        </is>
      </c>
      <c r="B32" s="52">
        <f>IFERROR(SUM(B27:B31),0)</f>
        <v/>
      </c>
      <c r="C32" s="22">
        <f>IFERROR(B32*12,0)</f>
        <v/>
      </c>
    </row>
    <row r="34">
      <c r="A34" s="3" t="inlineStr">
        <is>
          <t>PROFITABILITY</t>
        </is>
      </c>
      <c r="B34" s="3" t="n"/>
      <c r="C34" s="3" t="n"/>
      <c r="D34" s="3" t="n"/>
      <c r="E34" s="3" t="n"/>
    </row>
    <row r="35">
      <c r="A35" s="7" t="inlineStr">
        <is>
          <t>Gross Profit ($/month)</t>
        </is>
      </c>
      <c r="B35" s="30">
        <f>IFERROR(B24-B32,0)</f>
        <v/>
      </c>
    </row>
    <row r="36">
      <c r="A36" s="7" t="inlineStr">
        <is>
          <t>Gross Margin (%)</t>
        </is>
      </c>
      <c r="B36" s="24">
        <f>IFERROR(B35/B24,0)</f>
        <v/>
      </c>
    </row>
    <row r="37">
      <c r="A37" s="7" t="inlineStr">
        <is>
          <t>Revenue per Tonne Substrate ($/t)</t>
        </is>
      </c>
      <c r="B37" s="23">
        <f>IFERROR(B24/B11,0)</f>
        <v/>
      </c>
    </row>
    <row r="39">
      <c r="A39" s="3" t="inlineStr">
        <is>
          <t>CERTIFICATION UPLIFT COMPARISON</t>
        </is>
      </c>
      <c r="B39" s="3" t="n"/>
      <c r="C39" s="3" t="n"/>
      <c r="D39" s="3" t="n"/>
      <c r="E39" s="3" t="n"/>
    </row>
    <row r="40">
      <c r="A40" s="9" t="inlineStr">
        <is>
          <t>Metric</t>
        </is>
      </c>
      <c r="B40" s="9" t="inlineStr">
        <is>
          <t>None</t>
        </is>
      </c>
      <c r="C40" s="9" t="inlineStr">
        <is>
          <t>FSSC 22000</t>
        </is>
      </c>
      <c r="D40" s="9" t="inlineStr">
        <is>
          <t>ISO 22716</t>
        </is>
      </c>
    </row>
    <row r="41">
      <c r="A41" s="10" t="inlineStr">
        <is>
          <t>Meal Price ($/t)</t>
        </is>
      </c>
      <c r="B41" s="46" t="n">
        <v>1200</v>
      </c>
      <c r="C41" s="46" t="n">
        <v>3500</v>
      </c>
      <c r="D41" s="46" t="n">
        <v>4500</v>
      </c>
    </row>
    <row r="42">
      <c r="A42" s="10" t="inlineStr">
        <is>
          <t>Oil Price ($/t)</t>
        </is>
      </c>
      <c r="B42" s="46" t="n">
        <v>900</v>
      </c>
      <c r="C42" s="46" t="n">
        <v>3500</v>
      </c>
      <c r="D42" s="46" t="n">
        <v>9000</v>
      </c>
    </row>
    <row r="43">
      <c r="A43" s="10" t="inlineStr">
        <is>
          <t>Meal Revenue ($/month)</t>
        </is>
      </c>
      <c r="B43" s="22">
        <f>IFERROR(S4_BSF_Rearing!$B$32*B41,0)</f>
        <v/>
      </c>
      <c r="C43" s="22">
        <f>IFERROR(S4_BSF_Rearing!$B$32*C41,0)</f>
        <v/>
      </c>
      <c r="D43" s="22">
        <f>IFERROR(S4_BSF_Rearing!$B$32*D41,0)</f>
        <v/>
      </c>
    </row>
    <row r="44">
      <c r="A44" s="10" t="inlineStr">
        <is>
          <t>Oil Revenue ($/month)</t>
        </is>
      </c>
      <c r="B44" s="22">
        <f>IFERROR(S4_BSF_Rearing!$B$31*B42,0)</f>
        <v/>
      </c>
      <c r="C44" s="22">
        <f>IFERROR(S4_BSF_Rearing!$B$31*C42,0)</f>
        <v/>
      </c>
      <c r="D44" s="22">
        <f>IFERROR(S4_BSF_Rearing!$B$31*D42,0)</f>
        <v/>
      </c>
    </row>
    <row r="45">
      <c r="A45" s="36" t="inlineStr">
        <is>
          <t>Total Revenue ($/month)</t>
        </is>
      </c>
      <c r="B45" s="30">
        <f>IFERROR(B43+B44+S6_Product_Valuation!D19,0)</f>
        <v/>
      </c>
      <c r="C45" s="30">
        <f>IFERROR(C43+C44+S6_Product_Valuation!D19,0)</f>
        <v/>
      </c>
      <c r="D45" s="30">
        <f>IFERROR(D43+D44+S6_Product_Valuation!D19,0)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D6A6A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8" t="inlineStr">
        <is>
          <t>INDONESIAN SOIL TYPES &amp; FERTILISER MATRIX</t>
        </is>
      </c>
    </row>
    <row r="3">
      <c r="A3" s="3" t="inlineStr">
        <is>
          <t>SOIL TYPE PARAMETERS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9" t="inlineStr">
        <is>
          <t>Soil Type</t>
        </is>
      </c>
      <c r="B4" s="9" t="inlineStr">
        <is>
          <t>Coverage%</t>
        </is>
      </c>
      <c r="C4" s="9" t="inlineStr">
        <is>
          <t>pH</t>
        </is>
      </c>
      <c r="D4" s="9" t="inlineStr">
        <is>
          <t>CEC</t>
        </is>
      </c>
      <c r="E4" s="9" t="inlineStr">
        <is>
          <t>Base Sat%</t>
        </is>
      </c>
      <c r="F4" s="9" t="inlineStr">
        <is>
          <t>N (g/kg)</t>
        </is>
      </c>
      <c r="G4" s="9" t="inlineStr">
        <is>
          <t>P (mg/kg)</t>
        </is>
      </c>
      <c r="H4" s="9" t="inlineStr">
        <is>
          <t>K (cmol/kg)</t>
        </is>
      </c>
      <c r="I4" s="9" t="inlineStr">
        <is>
          <t>Yield Factor</t>
        </is>
      </c>
      <c r="J4" s="9" t="inlineStr">
        <is>
          <t>Notes</t>
        </is>
      </c>
    </row>
    <row r="5">
      <c r="A5" s="10" t="inlineStr">
        <is>
          <t>Inceptisols</t>
        </is>
      </c>
      <c r="B5" s="10" t="n">
        <v>39</v>
      </c>
      <c r="C5" s="10" t="n">
        <v>4.1</v>
      </c>
      <c r="D5" s="10" t="n">
        <v>15.4</v>
      </c>
      <c r="E5" s="10" t="n">
        <v>45</v>
      </c>
      <c r="F5" s="10" t="n">
        <v>2.7</v>
      </c>
      <c r="G5" s="10" t="n">
        <v>124</v>
      </c>
      <c r="H5" s="10" t="n">
        <v>0.25</v>
      </c>
      <c r="I5" s="10" t="n">
        <v>1</v>
      </c>
      <c r="J5" s="10" t="inlineStr">
        <is>
          <t>Best fertility, standard reference. Phanerochaete 4.8 star top performer.</t>
        </is>
      </c>
    </row>
    <row r="6">
      <c r="A6" s="10" t="inlineStr">
        <is>
          <t>Ultisols</t>
        </is>
      </c>
      <c r="B6" s="10" t="n">
        <v>24</v>
      </c>
      <c r="C6" s="10" t="n">
        <v>4.5</v>
      </c>
      <c r="D6" s="10" t="n">
        <v>8.199999999999999</v>
      </c>
      <c r="E6" s="10" t="n">
        <v>22</v>
      </c>
      <c r="F6" s="10" t="n">
        <v>1.8</v>
      </c>
      <c r="G6" s="10" t="n">
        <v>65</v>
      </c>
      <c r="H6" s="10" t="n">
        <v>0.15</v>
      </c>
      <c r="I6" s="10" t="n">
        <v>1</v>
      </c>
      <c r="J6" s="10" t="inlineStr">
        <is>
          <t>Standard NPK baseline. Aspergillus 4.5 star top performer.</t>
        </is>
      </c>
    </row>
    <row r="7">
      <c r="A7" s="10" t="inlineStr">
        <is>
          <t>Oxisols</t>
        </is>
      </c>
      <c r="B7" s="10" t="n">
        <v>8</v>
      </c>
      <c r="C7" s="10" t="n">
        <v>4.4</v>
      </c>
      <c r="D7" s="10" t="n">
        <v>5.5</v>
      </c>
      <c r="E7" s="10" t="n">
        <v>15</v>
      </c>
      <c r="F7" s="10" t="n">
        <v>1.5</v>
      </c>
      <c r="G7" s="10" t="n">
        <v>40</v>
      </c>
      <c r="H7" s="10" t="n">
        <v>0.1</v>
      </c>
      <c r="I7" s="10" t="n">
        <v>0.85</v>
      </c>
      <c r="J7" s="10" t="inlineStr">
        <is>
          <t>Fe/Al oxide-dominant, P-fixation 65%. Aspergillus 4.8 star top.</t>
        </is>
      </c>
    </row>
    <row r="8">
      <c r="A8" s="10" t="inlineStr">
        <is>
          <t>Histosols</t>
        </is>
      </c>
      <c r="B8" s="10" t="n">
        <v>7</v>
      </c>
      <c r="C8" s="10" t="n">
        <v>3.8</v>
      </c>
      <c r="D8" s="10" t="n">
        <v>45</v>
      </c>
      <c r="E8" s="10" t="n">
        <v>10</v>
      </c>
      <c r="F8" s="10" t="n">
        <v>15</v>
      </c>
      <c r="G8" s="10" t="n">
        <v>200</v>
      </c>
      <c r="H8" s="10" t="n">
        <v>0.08</v>
      </c>
      <c r="I8" s="10" t="n">
        <v>0.9</v>
      </c>
      <c r="J8" s="10" t="inlineStr">
        <is>
          <t>Peat/organic, C=24.5%. CRITICAL Cu/Zn deficiency. Lactobacillus 4.2 star top.</t>
        </is>
      </c>
    </row>
    <row r="9">
      <c r="A9" s="10" t="inlineStr">
        <is>
          <t>Spodosols</t>
        </is>
      </c>
      <c r="B9" s="10" t="n">
        <v>22</v>
      </c>
      <c r="C9" s="10" t="n">
        <v>4.77</v>
      </c>
      <c r="D9" s="10" t="n">
        <v>4</v>
      </c>
      <c r="E9" s="10" t="n">
        <v>12</v>
      </c>
      <c r="F9" s="10" t="n">
        <v>1</v>
      </c>
      <c r="G9" s="10" t="n">
        <v>30</v>
      </c>
      <c r="H9" s="10" t="n">
        <v>0.08</v>
      </c>
      <c r="I9" s="10" t="n">
        <v>0.6899999999999999</v>
      </c>
      <c r="J9" s="10" t="inlineStr">
        <is>
          <t>Sandy, lowest fertility, ~31% lower yield vs Ultisols</t>
        </is>
      </c>
    </row>
    <row r="10">
      <c r="A10" s="10" t="inlineStr">
        <is>
          <t>Andisols</t>
        </is>
      </c>
      <c r="B10" s="10" t="n">
        <v>2</v>
      </c>
      <c r="C10" s="10" t="n">
        <v>5.2</v>
      </c>
      <c r="D10" s="10" t="n">
        <v>25</v>
      </c>
      <c r="E10" s="10" t="n">
        <v>20</v>
      </c>
      <c r="F10" s="10" t="n">
        <v>3.5</v>
      </c>
      <c r="G10" s="10" t="n">
        <v>15</v>
      </c>
      <c r="H10" s="10" t="n">
        <v>0.2</v>
      </c>
      <c r="I10" s="10" t="n">
        <v>0.95</v>
      </c>
      <c r="J10" s="10" t="inlineStr">
        <is>
          <t>Volcanic, P-fixation 82% HIGHEST, allophane minerals</t>
        </is>
      </c>
    </row>
    <row r="11">
      <c r="A11" s="3" t="inlineStr">
        <is>
          <t>NPK REQUIREMENTS BY PALM AGE BRACKET (kg/ha/yr — Ultisol baseline)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9" t="inlineStr">
        <is>
          <t>Age Bracket</t>
        </is>
      </c>
      <c r="B12" s="9" t="inlineStr">
        <is>
          <t>N (kg/ha/yr)</t>
        </is>
      </c>
      <c r="C12" s="9" t="inlineStr">
        <is>
          <t>P (kg/ha/yr)</t>
        </is>
      </c>
      <c r="D12" s="9" t="inlineStr">
        <is>
          <t>K (kg/ha/yr)</t>
        </is>
      </c>
    </row>
    <row r="13">
      <c r="A13" s="10" t="inlineStr">
        <is>
          <t>Young 1-3yr</t>
        </is>
      </c>
      <c r="B13" s="21" t="n">
        <v>80</v>
      </c>
      <c r="C13" s="21" t="n">
        <v>35</v>
      </c>
      <c r="D13" s="21" t="n">
        <v>60</v>
      </c>
    </row>
    <row r="14">
      <c r="A14" s="10" t="inlineStr">
        <is>
          <t>Immature 4-6yr</t>
        </is>
      </c>
      <c r="B14" s="21" t="n">
        <v>120</v>
      </c>
      <c r="C14" s="21" t="n">
        <v>50</v>
      </c>
      <c r="D14" s="21" t="n">
        <v>100</v>
      </c>
    </row>
    <row r="15">
      <c r="A15" s="10" t="inlineStr">
        <is>
          <t>Mature 7-15yr</t>
        </is>
      </c>
      <c r="B15" s="21" t="n">
        <v>150</v>
      </c>
      <c r="C15" s="21" t="n">
        <v>60</v>
      </c>
      <c r="D15" s="21" t="n">
        <v>180</v>
      </c>
    </row>
    <row r="16">
      <c r="A16" s="10" t="inlineStr">
        <is>
          <t>Old 16+yr</t>
        </is>
      </c>
      <c r="B16" s="21" t="n">
        <v>130</v>
      </c>
      <c r="C16" s="21" t="n">
        <v>55</v>
      </c>
      <c r="D16" s="21" t="n">
        <v>150</v>
      </c>
    </row>
    <row r="18">
      <c r="A18" s="3" t="inlineStr">
        <is>
          <t>CFI FRASS + PKSA SUBSTITUTION BY SOIL TYPE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9" t="inlineStr">
        <is>
          <t>Soil Type</t>
        </is>
      </c>
      <c r="B19" s="9" t="inlineStr">
        <is>
          <t>N Reduction%</t>
        </is>
      </c>
      <c r="C19" s="9" t="inlineStr">
        <is>
          <t>P Reduction%</t>
        </is>
      </c>
      <c r="D19" s="9" t="inlineStr">
        <is>
          <t>Frass Rate (t/ha)</t>
        </is>
      </c>
      <c r="E19" s="9" t="inlineStr">
        <is>
          <t>PKSA Rate (t/ha)</t>
        </is>
      </c>
      <c r="F19" s="9" t="inlineStr">
        <is>
          <t>Synthetic Cost Saved ($/ha/yr)</t>
        </is>
      </c>
    </row>
    <row r="20">
      <c r="A20" s="10" t="inlineStr">
        <is>
          <t>Inceptisols</t>
        </is>
      </c>
      <c r="B20" s="21" t="n">
        <v>40</v>
      </c>
      <c r="C20" s="21" t="n">
        <v>50</v>
      </c>
      <c r="D20" s="21" t="n">
        <v>5</v>
      </c>
      <c r="E20" s="21" t="n">
        <v>2</v>
      </c>
      <c r="F20" s="41" t="n">
        <v>82.8</v>
      </c>
    </row>
    <row r="21">
      <c r="A21" s="10" t="inlineStr">
        <is>
          <t>Ultisols</t>
        </is>
      </c>
      <c r="B21" s="21" t="n">
        <v>0</v>
      </c>
      <c r="C21" s="21" t="n">
        <v>0</v>
      </c>
      <c r="D21" s="21" t="n">
        <v>10</v>
      </c>
      <c r="E21" s="21" t="n">
        <v>1</v>
      </c>
      <c r="F21" s="41" t="n">
        <v>124.8</v>
      </c>
    </row>
    <row r="22">
      <c r="A22" s="10" t="inlineStr">
        <is>
          <t>Oxisols</t>
        </is>
      </c>
      <c r="B22" s="21" t="n">
        <v>0</v>
      </c>
      <c r="C22" s="21" t="n">
        <v>0</v>
      </c>
      <c r="D22" s="21" t="n">
        <v>10</v>
      </c>
      <c r="E22" s="21" t="n">
        <v>2</v>
      </c>
      <c r="F22" s="41" t="n">
        <v>124.8</v>
      </c>
    </row>
    <row r="23">
      <c r="A23" s="10" t="inlineStr">
        <is>
          <t>Histosols</t>
        </is>
      </c>
      <c r="B23" s="21" t="n">
        <v>80</v>
      </c>
      <c r="C23" s="21" t="n">
        <v>70</v>
      </c>
      <c r="D23" s="21" t="n">
        <v>5</v>
      </c>
      <c r="E23" s="21" t="n">
        <v>2</v>
      </c>
      <c r="F23" s="41" t="n">
        <v>51.6</v>
      </c>
    </row>
    <row r="24">
      <c r="A24" s="10" t="inlineStr">
        <is>
          <t>Spodosols</t>
        </is>
      </c>
      <c r="B24" s="21" t="n">
        <v>0</v>
      </c>
      <c r="C24" s="21" t="n">
        <v>0</v>
      </c>
      <c r="D24" s="21" t="n">
        <v>10</v>
      </c>
      <c r="E24" s="21" t="n">
        <v>1</v>
      </c>
      <c r="F24" s="41" t="n">
        <v>124.8</v>
      </c>
    </row>
    <row r="25">
      <c r="A25" s="10" t="inlineStr">
        <is>
          <t>Andisols</t>
        </is>
      </c>
      <c r="B25" s="21" t="n">
        <v>30</v>
      </c>
      <c r="C25" s="21" t="n">
        <v>0</v>
      </c>
      <c r="D25" s="21" t="n">
        <v>8</v>
      </c>
      <c r="E25" s="21" t="n">
        <v>1</v>
      </c>
      <c r="F25" s="41" t="n">
        <v>106.8</v>
      </c>
    </row>
    <row r="26">
      <c r="A26" s="3" t="inlineStr">
        <is>
          <t>PKSA AGRONOMIC VALUE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7" t="inlineStr">
        <is>
          <t>PKSA Synthetic Replacement Value</t>
        </is>
      </c>
      <c r="B27" s="41" t="n">
        <v>129.82</v>
      </c>
      <c r="C27" s="2" t="inlineStr">
        <is>
          <t>$/t</t>
        </is>
      </c>
      <c r="D27" s="2" t="inlineStr">
        <is>
          <t>At $0 mill-gate cost (Guardrail 3)</t>
        </is>
      </c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D4A017"/>
    <outlinePr summaryBelow="1" summaryRight="1"/>
    <pageSetUpPr/>
  </sheetPr>
  <dimension ref="A1:F269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30" customWidth="1" min="4" max="4"/>
    <col width="20" customWidth="1" min="5" max="5"/>
    <col width="40" customWidth="1" min="6" max="6"/>
  </cols>
  <sheetData>
    <row r="1">
      <c r="A1" s="8" t="inlineStr">
        <is>
          <t>CAPEX &amp; OPEX ANALYSIS — FULL ENGINEERING BUILD</t>
        </is>
      </c>
    </row>
    <row r="3">
      <c r="A3" s="3" t="inlineStr">
        <is>
          <t>S1 — EFB MECHANICAL PRE-PROCESSING (21 items, $336,250 — CAPEX v4.1)</t>
        </is>
      </c>
      <c r="B3" s="3" t="n"/>
      <c r="C3" s="3" t="n"/>
    </row>
    <row r="4">
      <c r="A4" s="9" t="inlineStr">
        <is>
          <t>Equipment / Item</t>
        </is>
      </c>
      <c r="B4" s="9" t="inlineStr">
        <is>
          <t>Estimated Cost (USD)</t>
        </is>
      </c>
      <c r="C4" s="9" t="inlineStr">
        <is>
          <t>Category</t>
        </is>
      </c>
    </row>
    <row r="5">
      <c r="A5" s="10" t="inlineStr">
        <is>
          <t>TR-EFB-101 — Truck Receiving Bay (concrete ramp 6m×4m, 1.2m high)</t>
        </is>
      </c>
      <c r="B5" s="46" t="n">
        <v>8000</v>
      </c>
      <c r="C5" s="10" t="inlineStr">
        <is>
          <t>S1-EFB</t>
        </is>
      </c>
    </row>
    <row r="6">
      <c r="A6" s="10" t="inlineStr">
        <is>
          <t>RH-EFB-101 — Receiving Hopper 20m3 (304SS liner, 60deg walls, ultrasonic sensor)</t>
        </is>
      </c>
      <c r="B6" s="46" t="n">
        <v>15000</v>
      </c>
      <c r="C6" s="10" t="inlineStr">
        <is>
          <t>S1-EFB</t>
        </is>
      </c>
    </row>
    <row r="7">
      <c r="A7" s="10" t="inlineStr">
        <is>
          <t>AF-01 — Apron Feeder (3.5m×1.2m, AR400 pans, VFD 2-8 m/min, 7.5kW)</t>
        </is>
      </c>
      <c r="B7" s="46" t="n">
        <v>12000</v>
      </c>
      <c r="C7" s="10" t="inlineStr">
        <is>
          <t>S1-EFB</t>
        </is>
      </c>
    </row>
    <row r="8">
      <c r="A8" s="10" t="inlineStr">
        <is>
          <t>BC-01 — Belt Conveyor hopper-trommel (500mm belt, 4.5kW)</t>
        </is>
      </c>
      <c r="B8" s="46" t="n">
        <v>7500</v>
      </c>
      <c r="C8" s="10" t="inlineStr">
        <is>
          <t>S1-EFB</t>
        </is>
      </c>
    </row>
    <row r="9">
      <c r="A9" s="10" t="inlineStr">
        <is>
          <t>TR-2060 — Trommel Screen (2m dia×6m, 20mm perf, 10-15 RPM, 7.5kW)</t>
        </is>
      </c>
      <c r="B9" s="46" t="n">
        <v>21500</v>
      </c>
      <c r="C9" s="10" t="inlineStr">
        <is>
          <t>S1-EFB</t>
        </is>
      </c>
    </row>
    <row r="10">
      <c r="A10" s="10" t="inlineStr">
        <is>
          <t>BC-02 — Belt Conveyor trommel-magnet (4.5kW)</t>
        </is>
      </c>
      <c r="B10" s="46" t="n">
        <v>7500</v>
      </c>
      <c r="C10" s="10" t="inlineStr">
        <is>
          <t>S1-EFB</t>
        </is>
      </c>
    </row>
    <row r="11">
      <c r="A11" s="10" t="inlineStr">
        <is>
          <t>OBM-01 — Overband Magnet (self-cleaning belt, 250-400mm, 2.2kW)</t>
        </is>
      </c>
      <c r="B11" s="46" t="n">
        <v>6750</v>
      </c>
      <c r="C11" s="10" t="inlineStr">
        <is>
          <t>S1-EFB</t>
        </is>
      </c>
    </row>
    <row r="12">
      <c r="A12" s="10" t="inlineStr">
        <is>
          <t>BC-04 — Belt Conveyor magnet-metal detector (4.5kW)</t>
        </is>
      </c>
      <c r="B12" s="46" t="n">
        <v>7500</v>
      </c>
      <c r="C12" s="10" t="inlineStr">
        <is>
          <t>S1-EFB</t>
        </is>
      </c>
    </row>
    <row r="13">
      <c r="A13" s="10" t="inlineStr">
        <is>
          <t>MD-01 — Metal Detector (tunnel 1000×200mm, auto-reject gate, 0.5kW)</t>
        </is>
      </c>
      <c r="B13" s="46" t="n">
        <v>8500</v>
      </c>
      <c r="C13" s="10" t="inlineStr">
        <is>
          <t>S1-EFB</t>
        </is>
      </c>
    </row>
    <row r="14">
      <c r="A14" s="10" t="inlineStr">
        <is>
          <t>PR-01 — Screw Press CB-20T/C DUTY (37kW, 70pct-45-50pct MC, 13.8-9.8 t/hr)</t>
        </is>
      </c>
      <c r="B14" s="46" t="n">
        <v>50000</v>
      </c>
      <c r="C14" s="10" t="inlineStr">
        <is>
          <t>S1-EFB</t>
        </is>
      </c>
    </row>
    <row r="15">
      <c r="A15" s="10" t="inlineStr">
        <is>
          <t>PR-01B — Screw Press CB-20T/C STANDBY (immutable backup, 37kW)</t>
        </is>
      </c>
      <c r="B15" s="46" t="n">
        <v>50000</v>
      </c>
      <c r="C15" s="10" t="inlineStr">
        <is>
          <t>S1-EFB</t>
        </is>
      </c>
    </row>
    <row r="16">
      <c r="A16" s="10" t="inlineStr">
        <is>
          <t>BC-05 — Belt Conveyor press-shredder (4.5kW)</t>
        </is>
      </c>
      <c r="B16" s="46" t="n">
        <v>7500</v>
      </c>
      <c r="C16" s="10" t="inlineStr">
        <is>
          <t>S1-EFB</t>
        </is>
      </c>
    </row>
    <row r="17">
      <c r="A17" s="10" t="inlineStr">
        <is>
          <t>SD-01 — Primary Shredder KH-777 (dual shaft, AR400, 100-200-30-50mm, 90kW)</t>
        </is>
      </c>
      <c r="B17" s="46" t="n">
        <v>24000</v>
      </c>
      <c r="C17" s="10" t="inlineStr">
        <is>
          <t>S1-EFB</t>
        </is>
      </c>
    </row>
    <row r="18">
      <c r="A18" s="10" t="inlineStr">
        <is>
          <t>BC-06 — Belt Conveyor shredder-hammer mill (4.5kW)</t>
        </is>
      </c>
      <c r="B18" s="46" t="n">
        <v>7500</v>
      </c>
      <c r="C18" s="10" t="inlineStr">
        <is>
          <t>S1-EFB</t>
        </is>
      </c>
    </row>
    <row r="19">
      <c r="A19" s="10" t="inlineStr">
        <is>
          <t>HM-01 — Hammer Mill YTH-7.100 (1800 RPM, D90&lt;=2mm, 55kW, spring isolation)</t>
        </is>
      </c>
      <c r="B19" s="46" t="n">
        <v>18500</v>
      </c>
      <c r="C19" s="10" t="inlineStr">
        <is>
          <t>S1-EFB</t>
        </is>
      </c>
    </row>
    <row r="20">
      <c r="A20" s="10" t="inlineStr">
        <is>
          <t>BC-07 — Belt Conveyor hammer mill-vibrating screen (4.5kW)</t>
        </is>
      </c>
      <c r="B20" s="46" t="n">
        <v>7500</v>
      </c>
      <c r="C20" s="10" t="inlineStr">
        <is>
          <t>S1-EFB</t>
        </is>
      </c>
    </row>
    <row r="21">
      <c r="A21" s="10" t="inlineStr">
        <is>
          <t>VS-01 — Vibrating Screen 2mm (D90&lt;=2mm CLASS A gate, 1.5kW)</t>
        </is>
      </c>
      <c r="B21" s="46" t="n">
        <v>17000</v>
      </c>
      <c r="C21" s="10" t="inlineStr">
        <is>
          <t>S1-EFB</t>
        </is>
      </c>
    </row>
    <row r="22">
      <c r="A22" s="10" t="inlineStr">
        <is>
          <t>BC-08 — Belt Conveyor oversize recycle-HM-01 (2.2kW)</t>
        </is>
      </c>
      <c r="B22" s="46" t="n">
        <v>5500</v>
      </c>
      <c r="C22" s="10" t="inlineStr">
        <is>
          <t>S1-EFB</t>
        </is>
      </c>
    </row>
    <row r="23">
      <c r="A23" s="10" t="inlineStr">
        <is>
          <t>BC-09 — Belt Conveyor undersize-buffer bin (4.5kW)</t>
        </is>
      </c>
      <c r="B23" s="46" t="n">
        <v>7500</v>
      </c>
      <c r="C23" s="10" t="inlineStr">
        <is>
          <t>S1-EFB</t>
        </is>
      </c>
    </row>
    <row r="24">
      <c r="A24" s="10" t="inlineStr">
        <is>
          <t>BIN-EFB-201 — Buffer Bin 50m3 (live bottom, ~24hr dwell before S2)</t>
        </is>
      </c>
      <c r="B24" s="46" t="n">
        <v>25000</v>
      </c>
      <c r="C24" s="10" t="inlineStr">
        <is>
          <t>S1-EFB</t>
        </is>
      </c>
    </row>
    <row r="25">
      <c r="A25" s="10" t="inlineStr">
        <is>
          <t>EDC-01 — Dust Collector Baghouse (15,000 CFM, 200mm ducts, 18kW)</t>
        </is>
      </c>
      <c r="B25" s="46" t="n">
        <v>22000</v>
      </c>
      <c r="C25" s="10" t="inlineStr">
        <is>
          <t>S1-EFB</t>
        </is>
      </c>
    </row>
    <row r="26">
      <c r="A26" s="7" t="inlineStr">
        <is>
          <t>S1 EFB Subtotal</t>
        </is>
      </c>
      <c r="B26" s="22">
        <f>SUM(B5:B25)</f>
        <v/>
      </c>
    </row>
    <row r="28">
      <c r="A28" s="3" t="inlineStr">
        <is>
          <t>S1 — OPDC DEWATERING + BUFFER (11 items, $204,000 — CAPEX v4.1)</t>
        </is>
      </c>
      <c r="B28" s="3" t="n"/>
      <c r="C28" s="3" t="n"/>
    </row>
    <row r="29">
      <c r="A29" s="9" t="inlineStr">
        <is>
          <t>Equipment / Item</t>
        </is>
      </c>
      <c r="B29" s="9" t="inlineStr">
        <is>
          <t>Estimated Cost (USD)</t>
        </is>
      </c>
      <c r="C29" s="9" t="inlineStr">
        <is>
          <t>Category</t>
        </is>
      </c>
    </row>
    <row r="30">
      <c r="A30" s="10" t="inlineStr">
        <is>
          <t>TR-OPDC-101 — Receiving Bay (concrete ramp, epoxy-coated hopper 15m3)</t>
        </is>
      </c>
      <c r="B30" s="46" t="n">
        <v>5000</v>
      </c>
      <c r="C30" s="10" t="inlineStr">
        <is>
          <t>S1-OPDC</t>
        </is>
      </c>
    </row>
    <row r="31">
      <c r="A31" s="10" t="inlineStr">
        <is>
          <t>RH-OPDC-101 — Receiving Hopper 15m3 (3.5m×2.5m×2m, 150mm drain valve)</t>
        </is>
      </c>
      <c r="B31" s="46" t="n">
        <v>7000</v>
      </c>
      <c r="C31" s="10" t="inlineStr">
        <is>
          <t>S1-OPDC</t>
        </is>
      </c>
    </row>
    <row r="32">
      <c r="A32" s="10" t="inlineStr">
        <is>
          <t>SF-01 — Screw Feeder DC (3m×300mm, 304SS, VFD 10-50 RPM, 5.5kW)</t>
        </is>
      </c>
      <c r="B32" s="46" t="n">
        <v>10000</v>
      </c>
      <c r="C32" s="10" t="inlineStr">
        <is>
          <t>S1-OPDC</t>
        </is>
      </c>
    </row>
    <row r="33">
      <c r="A33" s="10" t="inlineStr">
        <is>
          <t>BC-10 — Belt Conveyor OPDC hopper-belt press (oil-resistant, 2.2kW)</t>
        </is>
      </c>
      <c r="B33" s="46" t="n">
        <v>7000</v>
      </c>
      <c r="C33" s="10" t="inlineStr">
        <is>
          <t>S1-OPDC</t>
        </is>
      </c>
    </row>
    <row r="34">
      <c r="A34" s="10" t="inlineStr">
        <is>
          <t>PR-301 — Belt Filter Press Biorem MDS (70-75pct-60-62pct MC, 15-30kW) NEVER&lt;40pct</t>
        </is>
      </c>
      <c r="B34" s="46" t="n">
        <v>40000</v>
      </c>
      <c r="C34" s="10" t="inlineStr">
        <is>
          <t>S1-OPDC</t>
        </is>
      </c>
    </row>
    <row r="35">
      <c r="A35" s="10" t="inlineStr">
        <is>
          <t>BC-11 — Belt Conveyor belt press cake-loosener (2.2kW)</t>
        </is>
      </c>
      <c r="B35" s="46" t="n">
        <v>6000</v>
      </c>
      <c r="C35" s="10" t="inlineStr">
        <is>
          <t>S1-OPDC</t>
        </is>
      </c>
    </row>
    <row r="36">
      <c r="A36" s="10" t="inlineStr">
        <is>
          <t>SD-301 — Finger-Screw Loosener/Lump Breaker (LOW SPEED ONLY, 37kW)</t>
        </is>
      </c>
      <c r="B36" s="46" t="n">
        <v>15000</v>
      </c>
      <c r="C36" s="10" t="inlineStr">
        <is>
          <t>S1-OPDC</t>
        </is>
      </c>
    </row>
    <row r="37">
      <c r="A37" s="10" t="inlineStr">
        <is>
          <t>BC-SPRAY — Chemical Spray Conveyor 304SS (3-5m belt, PKSA coating, 2-4kW)</t>
        </is>
      </c>
      <c r="B37" s="46" t="n">
        <v>14000</v>
      </c>
      <c r="C37" s="10" t="inlineStr">
        <is>
          <t>S1-OPDC</t>
        </is>
      </c>
    </row>
    <row r="38">
      <c r="A38" s="10" t="inlineStr">
        <is>
          <t>BUN-301 — Covered Buffer Bunker ~85t FW (concrete push-wall, 24-48hr pH dwell)</t>
        </is>
      </c>
      <c r="B38" s="46" t="n">
        <v>30000</v>
      </c>
      <c r="C38" s="10" t="inlineStr">
        <is>
          <t>S1-OPDC</t>
        </is>
      </c>
    </row>
    <row r="39">
      <c r="A39" s="10" t="inlineStr">
        <is>
          <t>SIL-301 — EFB+OPDC Blending Silo (&gt;=45deg conical base, sweep auger, 4-7.5kW)</t>
        </is>
      </c>
      <c r="B39" s="46" t="n">
        <v>55000</v>
      </c>
      <c r="C39" s="10" t="inlineStr">
        <is>
          <t>S1-OPDC</t>
        </is>
      </c>
    </row>
    <row r="40">
      <c r="A40" s="10" t="inlineStr">
        <is>
          <t>BIN-OPDC-301 — Buffer Bin 20m3 (steel bin S1 discharge holding)</t>
        </is>
      </c>
      <c r="B40" s="46" t="n">
        <v>15000</v>
      </c>
      <c r="C40" s="10" t="inlineStr">
        <is>
          <t>S1-OPDC</t>
        </is>
      </c>
    </row>
    <row r="41">
      <c r="A41" s="7" t="inlineStr">
        <is>
          <t>S1 OPDC Subtotal</t>
        </is>
      </c>
      <c r="B41" s="22">
        <f>SUM(B30:B40)</f>
        <v/>
      </c>
    </row>
    <row r="43">
      <c r="A43" s="3" t="inlineStr">
        <is>
          <t>S1 — POS/SLUDGE LINE (6 items, $154,000 — DEC=RFQ — CAPEX v4.1)</t>
        </is>
      </c>
      <c r="B43" s="3" t="n"/>
      <c r="C43" s="3" t="n"/>
    </row>
    <row r="44">
      <c r="A44" s="9" t="inlineStr">
        <is>
          <t>Equipment / Item</t>
        </is>
      </c>
      <c r="B44" s="9" t="inlineStr">
        <is>
          <t>Estimated Cost (USD)</t>
        </is>
      </c>
      <c r="C44" s="9" t="inlineStr">
        <is>
          <t>Category</t>
        </is>
      </c>
    </row>
    <row r="45">
      <c r="A45" s="10" t="inlineStr">
        <is>
          <t>DEC-SLD-101 — 3-Phase Decanter Centrifuge (3 m3/hr, 304SS bowl, 15-30kW) RFQ ONLY</t>
        </is>
      </c>
      <c r="B45" s="46" t="n">
        <v>115000</v>
      </c>
      <c r="C45" s="10" t="inlineStr">
        <is>
          <t>S1-POS</t>
        </is>
      </c>
    </row>
    <row r="46">
      <c r="A46" s="10" t="inlineStr">
        <is>
          <t>P-SLD-101A — Sludge Feed Pump DUTY (progressive cavity 3-4 m3/hr, 7.5kW, 304SS)</t>
        </is>
      </c>
      <c r="B46" s="46" t="n">
        <v>8000</v>
      </c>
      <c r="C46" s="10" t="inlineStr">
        <is>
          <t>S1-POS</t>
        </is>
      </c>
    </row>
    <row r="47">
      <c r="A47" s="10" t="inlineStr">
        <is>
          <t>P-SLD-101B — Sludge Feed Pump STANDBY (auto-switchover, 7.5kW)</t>
        </is>
      </c>
      <c r="B47" s="46" t="n">
        <v>8000</v>
      </c>
      <c r="C47" s="10" t="inlineStr">
        <is>
          <t>S1-POS</t>
        </is>
      </c>
    </row>
    <row r="48">
      <c r="A48" s="10" t="inlineStr">
        <is>
          <t>T-SLD-101 — Sludge Buffer Tank 6-8m3 (304SS, 2.2kW agitator, sealed, H2S vent)</t>
        </is>
      </c>
      <c r="B48" s="46" t="n">
        <v>12000</v>
      </c>
      <c r="C48" s="10" t="inlineStr">
        <is>
          <t>S1-POS</t>
        </is>
      </c>
    </row>
    <row r="49">
      <c r="A49" s="10" t="inlineStr">
        <is>
          <t>T-OIL-101 — Recovered Sludge Oil Tank 10m3 (carbon steel, bund, level gauge)</t>
        </is>
      </c>
      <c r="B49" s="46" t="n">
        <v>8000</v>
      </c>
      <c r="C49" s="10" t="inlineStr">
        <is>
          <t>S1-POS</t>
        </is>
      </c>
    </row>
    <row r="50">
      <c r="A50" s="10" t="inlineStr">
        <is>
          <t>P-OIL-101 — Recovered Oil Transfer Pump (centrifugal/gear 5 m3/hr, 1.5kW)</t>
        </is>
      </c>
      <c r="B50" s="46" t="n">
        <v>3000</v>
      </c>
      <c r="C50" s="10" t="inlineStr">
        <is>
          <t>S1-POS</t>
        </is>
      </c>
    </row>
    <row r="51">
      <c r="A51" s="7" t="inlineStr">
        <is>
          <t>S1 POS Subtotal</t>
        </is>
      </c>
      <c r="B51" s="22">
        <f>SUM(B45:B50)</f>
        <v/>
      </c>
    </row>
    <row r="53">
      <c r="A53" s="3" t="inlineStr">
        <is>
          <t>S2 — OPDC PKSA CHEMICAL TREATMENT (13 items, $162,000 — CAPEX v4.1)</t>
        </is>
      </c>
      <c r="B53" s="3" t="n"/>
      <c r="C53" s="3" t="n"/>
    </row>
    <row r="54">
      <c r="A54" s="9" t="inlineStr">
        <is>
          <t>Equipment / Item</t>
        </is>
      </c>
      <c r="B54" s="9" t="inlineStr">
        <is>
          <t>Estimated Cost (USD)</t>
        </is>
      </c>
      <c r="C54" s="9" t="inlineStr">
        <is>
          <t>Category</t>
        </is>
      </c>
    </row>
    <row r="55">
      <c r="A55" s="10" t="inlineStr">
        <is>
          <t>M-OPDC-PKSA-01 — Paddle Mixer #1 (2t wet/batch, 75min, alkaline+oil resistant, 11kW)</t>
        </is>
      </c>
      <c r="B55" s="46" t="n">
        <v>18000</v>
      </c>
      <c r="C55" s="10" t="inlineStr">
        <is>
          <t>S2-OPDC</t>
        </is>
      </c>
    </row>
    <row r="56">
      <c r="A56" s="10" t="inlineStr">
        <is>
          <t>M-OPDC-PKSA-02 — Paddle Mixer #2 (2t/batch, 11kW)</t>
        </is>
      </c>
      <c r="B56" s="46" t="n">
        <v>18000</v>
      </c>
      <c r="C56" s="10" t="inlineStr">
        <is>
          <t>S2-OPDC</t>
        </is>
      </c>
    </row>
    <row r="57">
      <c r="A57" s="10" t="inlineStr">
        <is>
          <t>CV-OPDC-FEED-01 — Feed Screw Mixer 1 from BIN-OPDC-301 (2 t/hr, 2.2kW)</t>
        </is>
      </c>
      <c r="B57" s="46" t="n">
        <v>3500</v>
      </c>
      <c r="C57" s="10" t="inlineStr">
        <is>
          <t>S2-OPDC</t>
        </is>
      </c>
    </row>
    <row r="58">
      <c r="A58" s="10" t="inlineStr">
        <is>
          <t>CV-OPDC-FEED-02 — Feed Screw Mixer 2 (2 t/hr, 2.2kW)</t>
        </is>
      </c>
      <c r="B58" s="46" t="n">
        <v>3500</v>
      </c>
      <c r="C58" s="10" t="inlineStr">
        <is>
          <t>S2-OPDC</t>
        </is>
      </c>
    </row>
    <row r="59">
      <c r="A59" s="10" t="inlineStr">
        <is>
          <t>T-PKSA-OPDC-01 — PKSA Slurry Tank 10m3 HDPE + agitator (1.5kW)</t>
        </is>
      </c>
      <c r="B59" s="46" t="n">
        <v>6000</v>
      </c>
      <c r="C59" s="10" t="inlineStr">
        <is>
          <t>S2-OPDC</t>
        </is>
      </c>
    </row>
    <row r="60">
      <c r="A60" s="10" t="inlineStr">
        <is>
          <t>P-PKSA-OPDC-01 — PKSA Slurry Pump centrifugal 5 m3/hr (1.5kW)</t>
        </is>
      </c>
      <c r="B60" s="46" t="n">
        <v>3000</v>
      </c>
      <c r="C60" s="10" t="inlineStr">
        <is>
          <t>S2-OPDC</t>
        </is>
      </c>
    </row>
    <row r="61">
      <c r="A61" s="10" t="inlineStr">
        <is>
          <t>SPR-OPDC-01 — PKSA Spray System (spray bars, 2 mixers)</t>
        </is>
      </c>
      <c r="B61" s="46" t="n">
        <v>3000</v>
      </c>
      <c r="C61" s="10" t="inlineStr">
        <is>
          <t>S2-OPDC</t>
        </is>
      </c>
    </row>
    <row r="62">
      <c r="A62" s="10" t="inlineStr">
        <is>
          <t>CV-OPDC-COL-01 — Collection Screw under mixers (3 t/hr, 3kW)</t>
        </is>
      </c>
      <c r="B62" s="46" t="n">
        <v>8000</v>
      </c>
      <c r="C62" s="10" t="inlineStr">
        <is>
          <t>S2-OPDC</t>
        </is>
      </c>
    </row>
    <row r="63">
      <c r="A63" s="10" t="inlineStr">
        <is>
          <t>CV-OPDC-INCL-01 — Inclined Conveyor to bay level (3 t/hr, 4.5kW)</t>
        </is>
      </c>
      <c r="B63" s="46" t="n">
        <v>10000</v>
      </c>
      <c r="C63" s="10" t="inlineStr">
        <is>
          <t>S2-OPDC</t>
        </is>
      </c>
    </row>
    <row r="64">
      <c r="A64" s="10" t="inlineStr">
        <is>
          <t>CV-OPDC-DIST-01 — Distribution Conveyor above Row A (3 t/hr, 4.5kW)</t>
        </is>
      </c>
      <c r="B64" s="46" t="n">
        <v>12000</v>
      </c>
      <c r="C64" s="10" t="inlineStr">
        <is>
          <t>S2-OPDC</t>
        </is>
      </c>
    </row>
    <row r="65">
      <c r="A65" s="10" t="inlineStr">
        <is>
          <t>C-OPDC-BAY-A — Neutralisation Bays Row A x6 (12m×12m×1.5m RC, 2pct slope)</t>
        </is>
      </c>
      <c r="B65" s="46" t="n">
        <v>48000</v>
      </c>
      <c r="C65" s="10" t="inlineStr">
        <is>
          <t>S2-OPDC</t>
        </is>
      </c>
    </row>
    <row r="66">
      <c r="A66" s="10" t="inlineStr">
        <is>
          <t>C-OPDC-BAY-B — pH Trim Bays Row B x3</t>
        </is>
      </c>
      <c r="B66" s="46" t="n">
        <v>24000</v>
      </c>
      <c r="C66" s="10" t="inlineStr">
        <is>
          <t>S2-OPDC</t>
        </is>
      </c>
    </row>
    <row r="67">
      <c r="A67" s="10" t="inlineStr">
        <is>
          <t>S-OPDC-SPRAY-A-01 — Row A Liquor Sprinkler</t>
        </is>
      </c>
      <c r="B67" s="46" t="n">
        <v>5000</v>
      </c>
      <c r="C67" s="10" t="inlineStr">
        <is>
          <t>S2-OPDC</t>
        </is>
      </c>
    </row>
    <row r="68">
      <c r="A68" s="7" t="inlineStr">
        <is>
          <t>S2 OPDC Chemical Subtotal</t>
        </is>
      </c>
      <c r="B68" s="22">
        <f>SUM(B55:B67)</f>
        <v/>
      </c>
    </row>
    <row r="70">
      <c r="A70" s="3" t="inlineStr">
        <is>
          <t>S2-S3 DISPATCH: STORAGE + FINAL BLEND + TRUCK LOADING (14 items, $308,000 — CAPEX v4.1)</t>
        </is>
      </c>
      <c r="B70" s="3" t="n"/>
      <c r="C70" s="3" t="n"/>
    </row>
    <row r="71">
      <c r="A71" s="9" t="inlineStr">
        <is>
          <t>Equipment / Item</t>
        </is>
      </c>
      <c r="B71" s="9" t="inlineStr">
        <is>
          <t>Estimated Cost (USD)</t>
        </is>
      </c>
      <c r="C71" s="9" t="inlineStr">
        <is>
          <t>Category</t>
        </is>
      </c>
    </row>
    <row r="72">
      <c r="A72" s="10" t="inlineStr">
        <is>
          <t>CV-BAY-COL-01 — Substrate Collection Conveyor from EFB bays (15 t/hr, 7.5kW)</t>
        </is>
      </c>
      <c r="B72" s="46" t="n">
        <v>18000</v>
      </c>
      <c r="C72" s="10" t="inlineStr">
        <is>
          <t>S2-S3</t>
        </is>
      </c>
    </row>
    <row r="73">
      <c r="A73" s="10" t="inlineStr">
        <is>
          <t>CV-BAY-COL-02 — Substrate Collection Conveyor from OPDC bays (5 t/hr, 4.5kW)</t>
        </is>
      </c>
      <c r="B73" s="46" t="n">
        <v>12000</v>
      </c>
      <c r="C73" s="10" t="inlineStr">
        <is>
          <t>S2-S3</t>
        </is>
      </c>
    </row>
    <row r="74">
      <c r="A74" s="10" t="inlineStr">
        <is>
          <t>HT-BLEND-01 — Horizontal Substrate Holding Tank #1 100m3 (carbon steel, 4kW)</t>
        </is>
      </c>
      <c r="B74" s="46" t="n">
        <v>35000</v>
      </c>
      <c r="C74" s="10" t="inlineStr">
        <is>
          <t>S2-S3</t>
        </is>
      </c>
    </row>
    <row r="75">
      <c r="A75" s="10" t="inlineStr">
        <is>
          <t>HT-BLEND-02 — Horizontal Substrate Holding Tank #2 50m3 OPDC buffer (3kW)</t>
        </is>
      </c>
      <c r="B75" s="46" t="n">
        <v>22000</v>
      </c>
      <c r="C75" s="10" t="inlineStr">
        <is>
          <t>S2-S3</t>
        </is>
      </c>
    </row>
    <row r="76">
      <c r="A76" s="10" t="inlineStr">
        <is>
          <t>WB-EFB-01 — EFB Weigh Belt Feeder (VFD, ratio control 60:40, 15 t/hr, 2.2kW)</t>
        </is>
      </c>
      <c r="B76" s="46" t="n">
        <v>8000</v>
      </c>
      <c r="C76" s="10" t="inlineStr">
        <is>
          <t>S2-S3</t>
        </is>
      </c>
    </row>
    <row r="77">
      <c r="A77" s="10" t="inlineStr">
        <is>
          <t>WB-OPDC-01 — OPDC Weigh Belt Feeder (VFD, ratio control, 5 t/hr, 2.2kW)</t>
        </is>
      </c>
      <c r="B77" s="46" t="n">
        <v>8000</v>
      </c>
      <c r="C77" s="10" t="inlineStr">
        <is>
          <t>S2-S3</t>
        </is>
      </c>
    </row>
    <row r="78">
      <c r="A78" s="10" t="inlineStr">
        <is>
          <t>S-LIME-BLEND-01 — Limestone Auto-Auger Dosing CaCO3 (1.5kW) DATA GAP dose rate</t>
        </is>
      </c>
      <c r="B78" s="46" t="n">
        <v>15000</v>
      </c>
      <c r="C78" s="10" t="inlineStr">
        <is>
          <t>S2-S3</t>
        </is>
      </c>
    </row>
    <row r="79">
      <c r="A79" s="10" t="inlineStr">
        <is>
          <t>B-BLEND-01 — Continuous Paddle Blender #1 (60:40 DM, pH 7-8.5, 55pct MC, 11kW)</t>
        </is>
      </c>
      <c r="B79" s="46" t="n">
        <v>45000</v>
      </c>
      <c r="C79" s="10" t="inlineStr">
        <is>
          <t>S2-S3</t>
        </is>
      </c>
    </row>
    <row r="80">
      <c r="A80" s="10" t="inlineStr">
        <is>
          <t>B-BLEND-02 — Continuous Paddle Blender #2 N+1 redundancy (11kW)</t>
        </is>
      </c>
      <c r="B80" s="46" t="n">
        <v>45000</v>
      </c>
      <c r="C80" s="10" t="inlineStr">
        <is>
          <t>S2-S3</t>
        </is>
      </c>
    </row>
    <row r="81">
      <c r="A81" s="10" t="inlineStr">
        <is>
          <t>pH-SENS-01 — Inline pH Sensor #1 blender discharge (GO/NO-GO gate)</t>
        </is>
      </c>
      <c r="B81" s="46" t="n">
        <v>3500</v>
      </c>
      <c r="C81" s="10" t="inlineStr">
        <is>
          <t>S2-S3</t>
        </is>
      </c>
    </row>
    <row r="82">
      <c r="A82" s="10" t="inlineStr">
        <is>
          <t>pH-SENS-02 — Inline pH Sensor #2 redundant</t>
        </is>
      </c>
      <c r="B82" s="46" t="n">
        <v>3500</v>
      </c>
      <c r="C82" s="10" t="inlineStr">
        <is>
          <t>S2-S3</t>
        </is>
      </c>
    </row>
    <row r="83">
      <c r="A83" s="10" t="inlineStr">
        <is>
          <t>HT-FINAL-01 — Final Substrate Storage Tank 200m3 (walking-floor, 5.5kW)</t>
        </is>
      </c>
      <c r="B83" s="46" t="n">
        <v>65000</v>
      </c>
      <c r="C83" s="10" t="inlineStr">
        <is>
          <t>S2-S3</t>
        </is>
      </c>
    </row>
    <row r="84">
      <c r="A84" s="10" t="inlineStr">
        <is>
          <t>CV-DISPATCH-01 — Substrate Dispatch Inclined Conveyor 15m (15 t/hr, 7.5kW)</t>
        </is>
      </c>
      <c r="B84" s="46" t="n">
        <v>20000</v>
      </c>
      <c r="C84" s="10" t="inlineStr">
        <is>
          <t>S2-S3</t>
        </is>
      </c>
    </row>
    <row r="85">
      <c r="A85" s="10" t="inlineStr">
        <is>
          <t>CHUTE-TRUCK-01 — Truck Loading Chute (4m wide, 1.0-1.5m free fall)</t>
        </is>
      </c>
      <c r="B85" s="46" t="n">
        <v>8000</v>
      </c>
      <c r="C85" s="10" t="inlineStr">
        <is>
          <t>S2-S3</t>
        </is>
      </c>
    </row>
    <row r="86">
      <c r="A86" s="7" t="inlineStr">
        <is>
          <t>S2-S3 Dispatch Subtotal</t>
        </is>
      </c>
      <c r="B86" s="22">
        <f>SUM(B72:B85)</f>
        <v/>
      </c>
    </row>
    <row r="88">
      <c r="A88" s="3" t="inlineStr">
        <is>
          <t>SHARED ALL STAGES + S3 FINAL BLEND (3 items, $111,000 — CAPEX v4.1)</t>
        </is>
      </c>
      <c r="B88" s="3" t="n"/>
      <c r="C88" s="3" t="n"/>
    </row>
    <row r="89">
      <c r="A89" s="9" t="inlineStr">
        <is>
          <t>Equipment / Item</t>
        </is>
      </c>
      <c r="B89" s="9" t="inlineStr">
        <is>
          <t>Estimated Cost (USD)</t>
        </is>
      </c>
      <c r="C89" s="9" t="inlineStr">
        <is>
          <t>Category</t>
        </is>
      </c>
    </row>
    <row r="90">
      <c r="A90" s="10" t="inlineStr">
        <is>
          <t>Limestone Storage &amp; Dosing — CaCO3 manual bag discharge, covered, scales</t>
        </is>
      </c>
      <c r="B90" s="46" t="n">
        <v>6000</v>
      </c>
      <c r="C90" s="10" t="inlineStr">
        <is>
          <t>Shared</t>
        </is>
      </c>
    </row>
    <row r="91">
      <c r="A91" s="10" t="inlineStr">
        <is>
          <t>Lonking/Bobcat FEL 3-5t diesel — bay-to-bay material transfer (55kW, shared)</t>
        </is>
      </c>
      <c r="B91" s="46" t="n">
        <v>75000</v>
      </c>
      <c r="C91" s="10" t="inlineStr">
        <is>
          <t>Shared</t>
        </is>
      </c>
    </row>
    <row r="92">
      <c r="A92" s="10" t="inlineStr">
        <is>
          <t>Final Blending Hopper/Mixer 10-15m3 — EFB+OPDC pre-BSF, S3 (11kW)</t>
        </is>
      </c>
      <c r="B92" s="46" t="n">
        <v>30000</v>
      </c>
      <c r="C92" s="10" t="inlineStr">
        <is>
          <t>Shared</t>
        </is>
      </c>
    </row>
    <row r="93">
      <c r="A93" s="7" t="inlineStr">
        <is>
          <t>Shared Equipment Subtotal</t>
        </is>
      </c>
      <c r="B93" s="22">
        <f>SUM(B90:B92)</f>
        <v/>
      </c>
    </row>
    <row r="95">
      <c r="A95" s="3" t="inlineStr">
        <is>
          <t>PROCESS BUILDING CAPEX — EPC PACKAGES A1-A8 ($2,020,192 — CAPEX v4.1)</t>
        </is>
      </c>
      <c r="B95" s="3" t="n"/>
      <c r="C95" s="3" t="n"/>
    </row>
    <row r="96">
      <c r="A96" s="9" t="inlineStr">
        <is>
          <t>Equipment / Item</t>
        </is>
      </c>
      <c r="B96" s="9" t="inlineStr">
        <is>
          <t>Estimated Cost (USD)</t>
        </is>
      </c>
      <c r="C96" s="9" t="inlineStr">
        <is>
          <t>Category</t>
        </is>
      </c>
    </row>
    <row r="97">
      <c r="A97" s="10" t="inlineStr">
        <is>
          <t>A1 — Site Works (clearance 2.5ha, earthworks, roads, drainage perimeter)</t>
        </is>
      </c>
      <c r="B97" s="46" t="n">
        <v>159750</v>
      </c>
      <c r="C97" s="10" t="inlineStr">
        <is>
          <t>EPC Base</t>
        </is>
      </c>
    </row>
    <row r="98">
      <c r="A98" s="10" t="inlineStr">
        <is>
          <t>A2 — Civil &amp; Concrete (slabs, foundations, hoppers, neutr.bays, sludge pad)</t>
        </is>
      </c>
      <c r="B98" s="46" t="n">
        <v>197720</v>
      </c>
      <c r="C98" s="10" t="inlineStr">
        <is>
          <t>EPC Base</t>
        </is>
      </c>
    </row>
    <row r="99">
      <c r="A99" s="10" t="inlineStr">
        <is>
          <t>A3 — Structural Steel &amp; Cladding (S1 PEB 36×35m×10m + S2 shed + bay roof)</t>
        </is>
      </c>
      <c r="B99" s="46" t="n">
        <v>570126</v>
      </c>
      <c r="C99" s="10" t="inlineStr">
        <is>
          <t>EPC Base</t>
        </is>
      </c>
    </row>
    <row r="100">
      <c r="A100" s="10" t="inlineStr">
        <is>
          <t>A4 — Welfare Fit-out (offices, changing, showers, canteen 40-pax, 50 lockers)</t>
        </is>
      </c>
      <c r="B100" s="46" t="n">
        <v>107650</v>
      </c>
      <c r="C100" s="10" t="inlineStr">
        <is>
          <t>EPC Base</t>
        </is>
      </c>
    </row>
    <row r="101">
      <c r="A101" s="10" t="inlineStr">
        <is>
          <t>A5 — MEP Power &amp; Lighting (MCCs S1+S2, LV switchboard, cabling 250kW)</t>
        </is>
      </c>
      <c r="B101" s="46" t="n">
        <v>180005</v>
      </c>
      <c r="C101" s="10" t="inlineStr">
        <is>
          <t>EPC Base</t>
        </is>
      </c>
    </row>
    <row r="102">
      <c r="A102" s="10" t="inlineStr">
        <is>
          <t>A6 — MEP HVAC &amp; Ventilation (AC offices, dust extraction, H2S biofilter)</t>
        </is>
      </c>
      <c r="B102" s="46" t="n">
        <v>47160</v>
      </c>
      <c r="C102" s="10" t="inlineStr">
        <is>
          <t>EPC Base</t>
        </is>
      </c>
    </row>
    <row r="103">
      <c r="A103" s="10" t="inlineStr">
        <is>
          <t>A7 — MEP Plumbing &amp; Drainage (water, POME routing, sludge feed, 250m3/day)</t>
        </is>
      </c>
      <c r="B103" s="46" t="n">
        <v>77790</v>
      </c>
      <c r="C103" s="10" t="inlineStr">
        <is>
          <t>EPC Base</t>
        </is>
      </c>
    </row>
    <row r="104">
      <c r="A104" s="10" t="inlineStr">
        <is>
          <t>A8 — Process Building Items (supports, dust ducting, fire ext, safety railings)</t>
        </is>
      </c>
      <c r="B104" s="46" t="n">
        <v>62710</v>
      </c>
      <c r="C104" s="10" t="inlineStr">
        <is>
          <t>EPC Base</t>
        </is>
      </c>
    </row>
    <row r="105">
      <c r="A105" s="10" t="inlineStr">
        <is>
          <t>EPC Contingency 8%</t>
        </is>
      </c>
      <c r="B105" s="46" t="n">
        <v>112233</v>
      </c>
      <c r="C105" s="10" t="inlineStr">
        <is>
          <t>EPC Markup</t>
        </is>
      </c>
    </row>
    <row r="106">
      <c r="A106" s="10" t="inlineStr">
        <is>
          <t>EPC Overheads &amp; Margin 12%</t>
        </is>
      </c>
      <c r="B106" s="46" t="n">
        <v>168349</v>
      </c>
      <c r="C106" s="10" t="inlineStr">
        <is>
          <t>EPC Markup</t>
        </is>
      </c>
    </row>
    <row r="107">
      <c r="A107" s="10" t="inlineStr">
        <is>
          <t>Developer/Process Markup 20%</t>
        </is>
      </c>
      <c r="B107" s="46" t="n">
        <v>336699</v>
      </c>
      <c r="C107" s="10" t="inlineStr">
        <is>
          <t>EPC Markup</t>
        </is>
      </c>
    </row>
    <row r="108">
      <c r="A108" s="7" t="inlineStr">
        <is>
          <t>Process Building TOTAL</t>
        </is>
      </c>
      <c r="B108" s="22">
        <f>SUM(B97:B107)</f>
        <v/>
      </c>
    </row>
    <row r="110">
      <c r="A110" s="3" t="inlineStr">
        <is>
          <t>ELECTRICAL PANELS &amp; CONTROLS (11 items, $282,500 — CAPEX v4.1 + GH est.)</t>
        </is>
      </c>
      <c r="B110" s="3" t="n"/>
      <c r="C110" s="3" t="n"/>
    </row>
    <row r="111">
      <c r="A111" s="9" t="inlineStr">
        <is>
          <t>Equipment / Item</t>
        </is>
      </c>
      <c r="B111" s="9" t="inlineStr">
        <is>
          <t>Estimated Cost (USD)</t>
        </is>
      </c>
      <c r="C111" s="9" t="inlineStr">
        <is>
          <t>Category</t>
        </is>
      </c>
    </row>
    <row r="112">
      <c r="A112" s="10" t="inlineStr">
        <is>
          <t>ELEC-01 — Main Transformer 500kVA 11kV/400V (200kW + 25pct margin)</t>
        </is>
      </c>
      <c r="B112" s="46" t="n">
        <v>35000</v>
      </c>
      <c r="C112" s="10" t="inlineStr">
        <is>
          <t>Electrical</t>
        </is>
      </c>
    </row>
    <row r="113">
      <c r="A113" s="10" t="inlineStr">
        <is>
          <t>ELEC-02 — LV Main Switchboard 400V 1000A ACB</t>
        </is>
      </c>
      <c r="B113" s="46" t="n">
        <v>18000</v>
      </c>
      <c r="C113" s="10" t="inlineStr">
        <is>
          <t>Electrical</t>
        </is>
      </c>
    </row>
    <row r="114">
      <c r="A114" s="10" t="inlineStr">
        <is>
          <t>ELEC-03 — MCC Panel EFB Line (motor starters, VFDs, relays ~100kW)</t>
        </is>
      </c>
      <c r="B114" s="46" t="n">
        <v>32500</v>
      </c>
      <c r="C114" s="10" t="inlineStr">
        <is>
          <t>Electrical</t>
        </is>
      </c>
    </row>
    <row r="115">
      <c r="A115" s="10" t="inlineStr">
        <is>
          <t>ELEC-04 — MCC Panel OPDC Line (motor starters, VFDs ~50kW)</t>
        </is>
      </c>
      <c r="B115" s="46" t="n">
        <v>32500</v>
      </c>
      <c r="C115" s="10" t="inlineStr">
        <is>
          <t>Electrical</t>
        </is>
      </c>
    </row>
    <row r="116">
      <c r="A116" s="10" t="inlineStr">
        <is>
          <t>ELEC-05 — PLC x2 Siemens S7-1200 (64 DI/32 DO/16 AI each)</t>
        </is>
      </c>
      <c r="B116" s="46" t="n">
        <v>14000</v>
      </c>
      <c r="C116" s="10" t="inlineStr">
        <is>
          <t>Electrical</t>
        </is>
      </c>
    </row>
    <row r="117">
      <c r="A117" s="10" t="inlineStr">
        <is>
          <t>ELEC-06 — HMI Touchscreens x2 (15in IP65, SCADA-ready)</t>
        </is>
      </c>
      <c r="B117" s="46" t="n">
        <v>8000</v>
      </c>
      <c r="C117" s="10" t="inlineStr">
        <is>
          <t>Electrical</t>
        </is>
      </c>
    </row>
    <row r="118">
      <c r="A118" s="10" t="inlineStr">
        <is>
          <t>ELEC-07 — Cable Tray, Cabling, Earthing (full facility lump sum)</t>
        </is>
      </c>
      <c r="B118" s="46" t="n">
        <v>38000</v>
      </c>
      <c r="C118" s="10" t="inlineStr">
        <is>
          <t>Electrical</t>
        </is>
      </c>
    </row>
    <row r="119">
      <c r="A119" s="10" t="inlineStr">
        <is>
          <t>ELEC-08 — Compressed Air System (2x15kW screw compressors + ring main)</t>
        </is>
      </c>
      <c r="B119" s="46" t="n">
        <v>22000</v>
      </c>
      <c r="C119" s="10" t="inlineStr">
        <is>
          <t>Electrical</t>
        </is>
      </c>
    </row>
    <row r="120">
      <c r="A120" s="10" t="inlineStr">
        <is>
          <t>ELEC-09 — CCTV System (8 cameras 1080p, 30-day NVR)</t>
        </is>
      </c>
      <c r="B120" s="46" t="n">
        <v>9500</v>
      </c>
      <c r="C120" s="10" t="inlineStr">
        <is>
          <t>Electrical</t>
        </is>
      </c>
    </row>
    <row r="121">
      <c r="A121" s="10" t="inlineStr">
        <is>
          <t>ELEC-10 — Instrumentation (3 weighbridges + moisture sensors)</t>
        </is>
      </c>
      <c r="B121" s="46" t="n">
        <v>18000</v>
      </c>
      <c r="C121" s="10" t="inlineStr">
        <is>
          <t>Electrical</t>
        </is>
      </c>
    </row>
    <row r="122">
      <c r="A122" s="10" t="inlineStr">
        <is>
          <t>GH-ELEC — Greenhouse Internal Electrical (SCADA, sensors, zone controls) est.</t>
        </is>
      </c>
      <c r="B122" s="46" t="n">
        <v>55000</v>
      </c>
      <c r="C122" s="10" t="inlineStr">
        <is>
          <t>Electrical</t>
        </is>
      </c>
    </row>
    <row r="123">
      <c r="A123" s="7" t="inlineStr">
        <is>
          <t>Electrical Subtotal</t>
        </is>
      </c>
      <c r="B123" s="22">
        <f>SUM(B112:B122)</f>
        <v/>
      </c>
    </row>
    <row r="125">
      <c r="A125" s="3" t="inlineStr">
        <is>
          <t>FIRE PROTECTION — ADDITIONAL (NOT in A8, estimated)</t>
        </is>
      </c>
      <c r="B125" s="3" t="n"/>
      <c r="C125" s="3" t="n"/>
    </row>
    <row r="126">
      <c r="A126" s="9" t="inlineStr">
        <is>
          <t>Equipment / Item</t>
        </is>
      </c>
      <c r="B126" s="9" t="inlineStr">
        <is>
          <t>Estimated Cost (USD)</t>
        </is>
      </c>
      <c r="C126" s="9" t="inlineStr">
        <is>
          <t>Category</t>
        </is>
      </c>
    </row>
    <row r="127">
      <c r="A127" s="10" t="inlineStr">
        <is>
          <t>FIRE-HYDRANT-01 — Fire Hydrant Network (100mm mains, 16 bar) est.</t>
        </is>
      </c>
      <c r="B127" s="46" t="n">
        <v>20000</v>
      </c>
      <c r="C127" s="10" t="inlineStr">
        <is>
          <t>Fire/Est.</t>
        </is>
      </c>
    </row>
    <row r="128">
      <c r="A128" s="10" t="inlineStr">
        <is>
          <t>FIRE-ALARM-01 — Fire Alarm System (detectors, panel, sirens) est.</t>
        </is>
      </c>
      <c r="B128" s="46" t="n">
        <v>12000</v>
      </c>
      <c r="C128" s="10" t="inlineStr">
        <is>
          <t>Fire/Est.</t>
        </is>
      </c>
    </row>
    <row r="129">
      <c r="A129" s="10" t="inlineStr">
        <is>
          <t>FIRE-SUPPRESS-01 — Building Fire Suppression S1 (sprinkler/CO2) est.</t>
        </is>
      </c>
      <c r="B129" s="46" t="n">
        <v>35000</v>
      </c>
      <c r="C129" s="10" t="inlineStr">
        <is>
          <t>Fire/Est.</t>
        </is>
      </c>
    </row>
    <row r="130">
      <c r="A130" s="7" t="inlineStr">
        <is>
          <t>Fire Protection Additional Subtotal</t>
        </is>
      </c>
      <c r="B130" s="22">
        <f>SUM(B127:B129)</f>
        <v/>
      </c>
    </row>
    <row r="132">
      <c r="A132" s="3" t="inlineStr">
        <is>
          <t>BSF GREENHOUSE + IoT + AUTOMATION (20,000 m2)</t>
        </is>
      </c>
      <c r="B132" s="3" t="n"/>
      <c r="C132" s="3" t="n"/>
    </row>
    <row r="133">
      <c r="A133" s="9" t="inlineStr">
        <is>
          <t>Equipment / Item</t>
        </is>
      </c>
      <c r="B133" s="9" t="inlineStr">
        <is>
          <t>Estimated Cost (USD)</t>
        </is>
      </c>
      <c r="C133" s="9" t="inlineStr">
        <is>
          <t>Category</t>
        </is>
      </c>
    </row>
    <row r="134">
      <c r="A134" s="10" t="inlineStr">
        <is>
          <t>Greenhouse Structure — Steel frame, poly-carbonate panels (20,000 m2)</t>
        </is>
      </c>
      <c r="B134" s="46" t="n">
        <v>1200000</v>
      </c>
      <c r="C134" s="10" t="inlineStr">
        <is>
          <t>Greenhouse</t>
        </is>
      </c>
    </row>
    <row r="135">
      <c r="A135" s="10" t="inlineStr">
        <is>
          <t>Greenhouse Foundation — Concrete slab + drainage (20,000 m2)</t>
        </is>
      </c>
      <c r="B135" s="46" t="n">
        <v>400000</v>
      </c>
      <c r="C135" s="10" t="inlineStr">
        <is>
          <t>Greenhouse</t>
        </is>
      </c>
    </row>
    <row r="136">
      <c r="A136" s="10" t="inlineStr">
        <is>
          <t>Internal Partition Walls — BSF zone separation (40 bays x 500m2)</t>
        </is>
      </c>
      <c r="B136" s="46" t="n">
        <v>120000</v>
      </c>
      <c r="C136" s="10" t="inlineStr">
        <is>
          <t>Greenhouse</t>
        </is>
      </c>
    </row>
    <row r="137">
      <c r="A137" s="10" t="inlineStr">
        <is>
          <t>Rearing Tray System — Stacked 3-tier racks (20,000 m2 effective)</t>
        </is>
      </c>
      <c r="B137" s="46" t="n">
        <v>350000</v>
      </c>
      <c r="C137" s="10" t="inlineStr">
        <is>
          <t>Greenhouse</t>
        </is>
      </c>
    </row>
    <row r="138">
      <c r="A138" s="10" t="inlineStr">
        <is>
          <t>Blackout System — UV-blocking curtains + light baffles</t>
        </is>
      </c>
      <c r="B138" s="46" t="n">
        <v>80000</v>
      </c>
      <c r="C138" s="10" t="inlineStr">
        <is>
          <t>Greenhouse</t>
        </is>
      </c>
    </row>
    <row r="139">
      <c r="A139" s="10" t="inlineStr">
        <is>
          <t>HVAC System — Evaporative cooling + exhaust fans (20,000 m2)</t>
        </is>
      </c>
      <c r="B139" s="46" t="n">
        <v>280000</v>
      </c>
      <c r="C139" s="10" t="inlineStr">
        <is>
          <t>Greenhouse</t>
        </is>
      </c>
    </row>
    <row r="140">
      <c r="A140" s="10" t="inlineStr">
        <is>
          <t>Heating System — Hot water pipes from mill waste heat</t>
        </is>
      </c>
      <c r="B140" s="46" t="n">
        <v>150000</v>
      </c>
      <c r="C140" s="10" t="inlineStr">
        <is>
          <t>Greenhouse</t>
        </is>
      </c>
    </row>
    <row r="141">
      <c r="A141" s="10" t="inlineStr">
        <is>
          <t>Humidification System — Fogging nozzles + RH control</t>
        </is>
      </c>
      <c r="B141" s="46" t="n">
        <v>65000</v>
      </c>
      <c r="C141" s="10" t="inlineStr">
        <is>
          <t>Greenhouse</t>
        </is>
      </c>
    </row>
    <row r="142">
      <c r="A142" s="10" t="inlineStr">
        <is>
          <t>Air Circulation Fans — 120 units, ceiling mount</t>
        </is>
      </c>
      <c r="B142" s="46" t="n">
        <v>48000</v>
      </c>
      <c r="C142" s="10" t="inlineStr">
        <is>
          <t>Greenhouse</t>
        </is>
      </c>
    </row>
    <row r="143">
      <c r="A143" s="10" t="inlineStr">
        <is>
          <t>IoT Temperature Sensors — 200 units (5 per bay, wireless)</t>
        </is>
      </c>
      <c r="B143" s="46" t="n">
        <v>30000</v>
      </c>
      <c r="C143" s="10" t="inlineStr">
        <is>
          <t>IoT/Automation</t>
        </is>
      </c>
    </row>
    <row r="144">
      <c r="A144" s="10" t="inlineStr">
        <is>
          <t>IoT Humidity Sensors — 200 units (5 per bay, wireless)</t>
        </is>
      </c>
      <c r="B144" s="46" t="n">
        <v>25000</v>
      </c>
      <c r="C144" s="10" t="inlineStr">
        <is>
          <t>IoT/Automation</t>
        </is>
      </c>
    </row>
    <row r="145">
      <c r="A145" s="10" t="inlineStr">
        <is>
          <t>IoT CO2 Sensors — 40 units (1 per bay)</t>
        </is>
      </c>
      <c r="B145" s="46" t="n">
        <v>16000</v>
      </c>
      <c r="C145" s="10" t="inlineStr">
        <is>
          <t>IoT/Automation</t>
        </is>
      </c>
    </row>
    <row r="146">
      <c r="A146" s="10" t="inlineStr">
        <is>
          <t>IoT pH Sensors — substrate monitoring, 80 units</t>
        </is>
      </c>
      <c r="B146" s="46" t="n">
        <v>24000</v>
      </c>
      <c r="C146" s="10" t="inlineStr">
        <is>
          <t>IoT/Automation</t>
        </is>
      </c>
    </row>
    <row r="147">
      <c r="A147" s="10" t="inlineStr">
        <is>
          <t>IoT Weight Sensors — tray scales for yield tracking, 200 units</t>
        </is>
      </c>
      <c r="B147" s="46" t="n">
        <v>40000</v>
      </c>
      <c r="C147" s="10" t="inlineStr">
        <is>
          <t>IoT/Automation</t>
        </is>
      </c>
    </row>
    <row r="148">
      <c r="A148" s="10" t="inlineStr">
        <is>
          <t>IoT Ammonia Sensors — 40 units (1 per bay)</t>
        </is>
      </c>
      <c r="B148" s="46" t="n">
        <v>20000</v>
      </c>
      <c r="C148" s="10" t="inlineStr">
        <is>
          <t>IoT/Automation</t>
        </is>
      </c>
    </row>
    <row r="149">
      <c r="A149" s="10" t="inlineStr">
        <is>
          <t>Central IoT Gateway — LoRaWAN/WiFi hub + cloud dashboard</t>
        </is>
      </c>
      <c r="B149" s="46" t="n">
        <v>15000</v>
      </c>
      <c r="C149" s="10" t="inlineStr">
        <is>
          <t>IoT/Automation</t>
        </is>
      </c>
    </row>
    <row r="150">
      <c r="A150" s="10" t="inlineStr">
        <is>
          <t>IoT Software Platform — Dashboard, alerts, analytics (annual license)</t>
        </is>
      </c>
      <c r="B150" s="46" t="n">
        <v>25000</v>
      </c>
      <c r="C150" s="10" t="inlineStr">
        <is>
          <t>IoT/Automation</t>
        </is>
      </c>
    </row>
    <row r="151">
      <c r="A151" s="10" t="inlineStr">
        <is>
          <t>Automated Feed Distribution System — conveyor + metering</t>
        </is>
      </c>
      <c r="B151" s="46" t="n">
        <v>180000</v>
      </c>
      <c r="C151" s="10" t="inlineStr">
        <is>
          <t>Automation</t>
        </is>
      </c>
    </row>
    <row r="152">
      <c r="A152" s="10" t="inlineStr">
        <is>
          <t>Automated Larvae Harvesting System — vibrating separator + conveyor</t>
        </is>
      </c>
      <c r="B152" s="46" t="n">
        <v>220000</v>
      </c>
      <c r="C152" s="10" t="inlineStr">
        <is>
          <t>Automation</t>
        </is>
      </c>
    </row>
    <row r="153">
      <c r="A153" s="10" t="inlineStr">
        <is>
          <t>Automated Tray Washing Station</t>
        </is>
      </c>
      <c r="B153" s="46" t="n">
        <v>45000</v>
      </c>
      <c r="C153" s="10" t="inlineStr">
        <is>
          <t>Automation</t>
        </is>
      </c>
    </row>
    <row r="154">
      <c r="A154" s="10" t="inlineStr">
        <is>
          <t>Automated Climate Control PLC — Siemens/Allen-Bradley</t>
        </is>
      </c>
      <c r="B154" s="46" t="n">
        <v>35000</v>
      </c>
      <c r="C154" s="10" t="inlineStr">
        <is>
          <t>IoT/Automation</t>
        </is>
      </c>
    </row>
    <row r="155">
      <c r="A155" s="10" t="inlineStr">
        <is>
          <t>SCADA System — Central control room, 4 screens</t>
        </is>
      </c>
      <c r="B155" s="46" t="n">
        <v>40000</v>
      </c>
      <c r="C155" s="10" t="inlineStr">
        <is>
          <t>IoT/Automation</t>
        </is>
      </c>
    </row>
    <row r="156">
      <c r="A156" s="10" t="inlineStr">
        <is>
          <t>Water Supply System — treatment + distribution (20,000 m2)</t>
        </is>
      </c>
      <c r="B156" s="46" t="n">
        <v>85000</v>
      </c>
      <c r="C156" s="10" t="inlineStr">
        <is>
          <t>Utilities</t>
        </is>
      </c>
    </row>
    <row r="157">
      <c r="A157" s="10" t="inlineStr">
        <is>
          <t>Electrical Distribution — panels, cabling, backup genset</t>
        </is>
      </c>
      <c r="B157" s="46" t="n">
        <v>120000</v>
      </c>
      <c r="C157" s="10" t="inlineStr">
        <is>
          <t>Utilities</t>
        </is>
      </c>
    </row>
    <row r="158">
      <c r="A158" s="10" t="inlineStr">
        <is>
          <t>Waste Water Treatment — effluent from rearing</t>
        </is>
      </c>
      <c r="B158" s="46" t="n">
        <v>60000</v>
      </c>
      <c r="C158" s="10" t="inlineStr">
        <is>
          <t>Utilities</t>
        </is>
      </c>
    </row>
    <row r="159">
      <c r="A159" s="10" t="inlineStr">
        <is>
          <t>Fire Suppression System</t>
        </is>
      </c>
      <c r="B159" s="46" t="n">
        <v>45000</v>
      </c>
      <c r="C159" s="10" t="inlineStr">
        <is>
          <t>Facilities</t>
        </is>
      </c>
    </row>
    <row r="160">
      <c r="A160" s="10" t="inlineStr">
        <is>
          <t>Site Clearing &amp; Grading (2.5 ha total footprint)</t>
        </is>
      </c>
      <c r="B160" s="46" t="n">
        <v>80000</v>
      </c>
      <c r="C160" s="10" t="inlineStr">
        <is>
          <t>Site Works</t>
        </is>
      </c>
    </row>
    <row r="161">
      <c r="A161" s="10" t="inlineStr">
        <is>
          <t>Access Roads — Internal + connection to mill (500m gravel)</t>
        </is>
      </c>
      <c r="B161" s="46" t="n">
        <v>60000</v>
      </c>
      <c r="C161" s="10" t="inlineStr">
        <is>
          <t>Site Works</t>
        </is>
      </c>
    </row>
    <row r="162">
      <c r="A162" s="10" t="inlineStr">
        <is>
          <t>Perimeter Fencing + Security</t>
        </is>
      </c>
      <c r="B162" s="46" t="n">
        <v>35000</v>
      </c>
      <c r="C162" s="10" t="inlineStr">
        <is>
          <t>Greenhouse</t>
        </is>
      </c>
    </row>
    <row r="163">
      <c r="A163" s="10" t="inlineStr">
        <is>
          <t>Drainage System — Surface + subsurface</t>
        </is>
      </c>
      <c r="B163" s="46" t="n">
        <v>55000</v>
      </c>
      <c r="C163" s="10" t="inlineStr">
        <is>
          <t>Site Works</t>
        </is>
      </c>
    </row>
    <row r="164">
      <c r="A164" s="10" t="inlineStr">
        <is>
          <t>Landscaping + Erosion Control</t>
        </is>
      </c>
      <c r="B164" s="46" t="n">
        <v>20000</v>
      </c>
      <c r="C164" s="10" t="inlineStr">
        <is>
          <t>Site Works</t>
        </is>
      </c>
    </row>
    <row r="165">
      <c r="A165" s="10" t="inlineStr">
        <is>
          <t>Staff Facilities — Office, changing rooms, canteen</t>
        </is>
      </c>
      <c r="B165" s="46" t="n">
        <v>85000</v>
      </c>
      <c r="C165" s="10" t="inlineStr">
        <is>
          <t>Facilities</t>
        </is>
      </c>
    </row>
    <row r="166">
      <c r="A166" s="10" t="inlineStr">
        <is>
          <t>Storage Warehouse — Finished product (500 m2)</t>
        </is>
      </c>
      <c r="B166" s="46" t="n">
        <v>120000</v>
      </c>
      <c r="C166" s="10" t="inlineStr">
        <is>
          <t>Facilities</t>
        </is>
      </c>
    </row>
    <row r="167">
      <c r="A167" s="7" t="inlineStr">
        <is>
          <t>Greenhouse + IoT Subtotal</t>
        </is>
      </c>
      <c r="B167" s="22">
        <f>SUM(B134:B166)</f>
        <v/>
      </c>
    </row>
    <row r="169">
      <c r="A169" s="3" t="inlineStr">
        <is>
          <t>S5 EXTRACTION &amp; POST-PROCESSING</t>
        </is>
      </c>
      <c r="B169" s="3" t="n"/>
      <c r="C169" s="3" t="n"/>
    </row>
    <row r="170">
      <c r="A170" s="10" t="inlineStr">
        <is>
          <t>S5A — Frass screening/bagging line</t>
        </is>
      </c>
      <c r="B170" s="46" t="n">
        <v>20000</v>
      </c>
      <c r="C170" s="10" t="inlineStr">
        <is>
          <t>S5/Lab</t>
        </is>
      </c>
    </row>
    <row r="171">
      <c r="A171" s="10" t="inlineStr">
        <is>
          <t>S5B — Larvae separation (vibrating + thermal)</t>
        </is>
      </c>
      <c r="B171" s="46" t="n">
        <v>30000</v>
      </c>
      <c r="C171" s="10" t="inlineStr">
        <is>
          <t>S5/Lab</t>
        </is>
      </c>
    </row>
    <row r="172">
      <c r="A172" s="10" t="inlineStr">
        <is>
          <t>S5B — Oil press (screw type, 85% eff)</t>
        </is>
      </c>
      <c r="B172" s="46" t="n">
        <v>45000</v>
      </c>
      <c r="C172" s="10" t="inlineStr">
        <is>
          <t>S5/Lab</t>
        </is>
      </c>
    </row>
    <row r="173">
      <c r="A173" s="10" t="inlineStr">
        <is>
          <t>S5B — Drying system (belt dryer)</t>
        </is>
      </c>
      <c r="B173" s="46" t="n">
        <v>40000</v>
      </c>
      <c r="C173" s="10" t="inlineStr">
        <is>
          <t>S5/Lab</t>
        </is>
      </c>
    </row>
    <row r="174">
      <c r="A174" s="10" t="inlineStr">
        <is>
          <t>Laboratory — QC lab (ICP-OES capable)</t>
        </is>
      </c>
      <c r="B174" s="46" t="n">
        <v>45000</v>
      </c>
      <c r="C174" s="10" t="inlineStr">
        <is>
          <t>S5/Lab</t>
        </is>
      </c>
    </row>
    <row r="175">
      <c r="A175" s="7" t="inlineStr">
        <is>
          <t>S5 Subtotal</t>
        </is>
      </c>
      <c r="B175" s="22">
        <f>SUM(B170:B174)</f>
        <v/>
      </c>
    </row>
    <row r="177">
      <c r="A177" s="3" t="inlineStr">
        <is>
          <t>MOBILE EQUIPMENT &amp; VEHICLES</t>
        </is>
      </c>
      <c r="B177" s="3" t="n"/>
      <c r="C177" s="3" t="n"/>
    </row>
    <row r="178">
      <c r="A178" s="9" t="inlineStr">
        <is>
          <t>Equipment / Item</t>
        </is>
      </c>
      <c r="B178" s="9" t="inlineStr">
        <is>
          <t>Estimated Cost (USD)</t>
        </is>
      </c>
      <c r="C178" s="9" t="inlineStr">
        <is>
          <t>Category</t>
        </is>
      </c>
    </row>
    <row r="179">
      <c r="A179" s="10" t="inlineStr">
        <is>
          <t>Wheel Loader — Komatsu WA100 or equiv (1.0m3 bucket, EFB/OPDC handling)</t>
        </is>
      </c>
      <c r="B179" s="46" t="n">
        <v>85000</v>
      </c>
      <c r="C179" s="10" t="inlineStr">
        <is>
          <t>Mobile</t>
        </is>
      </c>
    </row>
    <row r="180">
      <c r="A180" s="10" t="inlineStr">
        <is>
          <t>Wheel Loader — Komatsu WA70 or equiv (0.5m3 bucket, PKSA/compost)</t>
        </is>
      </c>
      <c r="B180" s="46" t="n">
        <v>55000</v>
      </c>
      <c r="C180" s="10" t="inlineStr">
        <is>
          <t>Mobile</t>
        </is>
      </c>
    </row>
    <row r="181">
      <c r="A181" s="10" t="inlineStr">
        <is>
          <t>Skid-Steer Loader / Bobcat — S650 or equiv (BSF frass, substrate)</t>
        </is>
      </c>
      <c r="B181" s="46" t="n">
        <v>45000</v>
      </c>
      <c r="C181" s="10" t="inlineStr">
        <is>
          <t>Mobile</t>
        </is>
      </c>
    </row>
    <row r="182">
      <c r="A182" s="10" t="inlineStr">
        <is>
          <t>Skid-Steer Loader / Bobcat — S450 or equiv (greenhouse internal)</t>
        </is>
      </c>
      <c r="B182" s="46" t="n">
        <v>38000</v>
      </c>
      <c r="C182" s="10" t="inlineStr">
        <is>
          <t>Mobile</t>
        </is>
      </c>
    </row>
    <row r="183">
      <c r="A183" s="10" t="inlineStr">
        <is>
          <t>Mini Excavator — 3.5t (site maintenance, drainage, pit cleaning)</t>
        </is>
      </c>
      <c r="B183" s="46" t="n">
        <v>42000</v>
      </c>
      <c r="C183" s="10" t="inlineStr">
        <is>
          <t>Mobile</t>
        </is>
      </c>
    </row>
    <row r="184">
      <c r="A184" s="10" t="inlineStr">
        <is>
          <t>Dump Truck — 10t (EFB transport mill to S1, internal)</t>
        </is>
      </c>
      <c r="B184" s="46" t="n">
        <v>65000</v>
      </c>
      <c r="C184" s="10" t="inlineStr">
        <is>
          <t>Mobile</t>
        </is>
      </c>
    </row>
    <row r="185">
      <c r="A185" s="10" t="inlineStr">
        <is>
          <t>Dump Truck — 10t (OPDC/POS transport mill to S1)</t>
        </is>
      </c>
      <c r="B185" s="46" t="n">
        <v>65000</v>
      </c>
      <c r="C185" s="10" t="inlineStr">
        <is>
          <t>Mobile</t>
        </is>
      </c>
    </row>
    <row r="186">
      <c r="A186" s="10" t="inlineStr">
        <is>
          <t>Flatbed Truck — 8t (finished product transport, frass/meal)</t>
        </is>
      </c>
      <c r="B186" s="46" t="n">
        <v>55000</v>
      </c>
      <c r="C186" s="10" t="inlineStr">
        <is>
          <t>Mobile</t>
        </is>
      </c>
    </row>
    <row r="187">
      <c r="A187" s="10" t="inlineStr">
        <is>
          <t>Tanker Truck — 5,000L (water, POME, liquid transfer)</t>
        </is>
      </c>
      <c r="B187" s="46" t="n">
        <v>48000</v>
      </c>
      <c r="C187" s="10" t="inlineStr">
        <is>
          <t>Mobile</t>
        </is>
      </c>
    </row>
    <row r="188">
      <c r="A188" s="10" t="inlineStr">
        <is>
          <t>Pickup Truck — 4x4 (site management, 2 units)</t>
        </is>
      </c>
      <c r="B188" s="46" t="n">
        <v>60000</v>
      </c>
      <c r="C188" s="10" t="inlineStr">
        <is>
          <t>Mobile</t>
        </is>
      </c>
    </row>
    <row r="189">
      <c r="A189" s="10" t="inlineStr">
        <is>
          <t>Forklift — 3t diesel (warehouse, bagged product, 2 units)</t>
        </is>
      </c>
      <c r="B189" s="46" t="n">
        <v>50000</v>
      </c>
      <c r="C189" s="10" t="inlineStr">
        <is>
          <t>Mobile</t>
        </is>
      </c>
    </row>
    <row r="190">
      <c r="A190" s="10" t="inlineStr">
        <is>
          <t>Forklift — 1.5t electric (greenhouse internal, 2 units)</t>
        </is>
      </c>
      <c r="B190" s="46" t="n">
        <v>36000</v>
      </c>
      <c r="C190" s="10" t="inlineStr">
        <is>
          <t>Mobile</t>
        </is>
      </c>
    </row>
    <row r="191">
      <c r="A191" s="10" t="inlineStr">
        <is>
          <t>Tipping Trailer — 8t (substrate/frass haulage, 2 units)</t>
        </is>
      </c>
      <c r="B191" s="46" t="n">
        <v>24000</v>
      </c>
      <c r="C191" s="10" t="inlineStr">
        <is>
          <t>Mobile</t>
        </is>
      </c>
    </row>
    <row r="192">
      <c r="A192" s="10" t="inlineStr">
        <is>
          <t>Pallet Jacks — manual (4 units, warehouse)</t>
        </is>
      </c>
      <c r="B192" s="46" t="n">
        <v>3200</v>
      </c>
      <c r="C192" s="10" t="inlineStr">
        <is>
          <t>Mobile</t>
        </is>
      </c>
    </row>
    <row r="193">
      <c r="A193" s="10" t="inlineStr">
        <is>
          <t>Grab Bucket Attachment — for wheel loader (EFB)</t>
        </is>
      </c>
      <c r="B193" s="46" t="n">
        <v>8000</v>
      </c>
      <c r="C193" s="10" t="inlineStr">
        <is>
          <t>Mobile</t>
        </is>
      </c>
    </row>
    <row r="194">
      <c r="A194" s="10" t="inlineStr">
        <is>
          <t>Sweeper Attachment — for bobcat (greenhouse cleaning)</t>
        </is>
      </c>
      <c r="B194" s="46" t="n">
        <v>6500</v>
      </c>
      <c r="C194" s="10" t="inlineStr">
        <is>
          <t>Mobile</t>
        </is>
      </c>
    </row>
    <row r="195">
      <c r="A195" s="7" t="inlineStr">
        <is>
          <t>Mobile Equipment Subtotal</t>
        </is>
      </c>
      <c r="B195" s="22">
        <f>SUM(B179:B194)</f>
        <v/>
      </c>
    </row>
    <row r="197">
      <c r="A197" s="3" t="inlineStr">
        <is>
          <t>STAFFING — FULL HEADCOUNT &amp; LABOUR COST</t>
        </is>
      </c>
      <c r="B197" s="3" t="n"/>
      <c r="C197" s="3" t="n"/>
      <c r="D197" s="3" t="n"/>
      <c r="E197" s="3" t="n"/>
      <c r="F197" s="3" t="n"/>
    </row>
    <row r="198">
      <c r="A198" s="9" t="inlineStr">
        <is>
          <t>Position</t>
        </is>
      </c>
      <c r="B198" s="9" t="inlineStr">
        <is>
          <t>Headcount</t>
        </is>
      </c>
      <c r="C198" s="9" t="inlineStr">
        <is>
          <t>Salary (USD/month)</t>
        </is>
      </c>
      <c r="D198" s="9" t="inlineStr">
        <is>
          <t>Shift</t>
        </is>
      </c>
      <c r="E198" s="9" t="inlineStr">
        <is>
          <t>Monthly Cost (USD)</t>
        </is>
      </c>
      <c r="F198" s="9" t="inlineStr">
        <is>
          <t>Notes</t>
        </is>
      </c>
    </row>
    <row r="199">
      <c r="A199" s="10" t="inlineStr">
        <is>
          <t>S1 — EFB Line Operator (shredder + hammer mill)</t>
        </is>
      </c>
      <c r="B199" s="53" t="n">
        <v>2</v>
      </c>
      <c r="C199" s="46" t="n">
        <v>450</v>
      </c>
      <c r="D199" s="53" t="inlineStr">
        <is>
          <t>2-shift</t>
        </is>
      </c>
      <c r="E199" s="22">
        <f>B199*C199</f>
        <v/>
      </c>
      <c r="F199" s="54" t="inlineStr">
        <is>
          <t>1 per shift, monitors feed + oversize return</t>
        </is>
      </c>
    </row>
    <row r="200">
      <c r="A200" s="10" t="inlineStr">
        <is>
          <t>S1 — EFB Conveyor / Screen Operator</t>
        </is>
      </c>
      <c r="B200" s="53" t="n">
        <v>2</v>
      </c>
      <c r="C200" s="46" t="n">
        <v>400</v>
      </c>
      <c r="D200" s="53" t="inlineStr">
        <is>
          <t>2-shift</t>
        </is>
      </c>
      <c r="E200" s="22">
        <f>B200*C200</f>
        <v/>
      </c>
      <c r="F200" s="54" t="inlineStr">
        <is>
          <t>Belt + vibrating screen monitoring</t>
        </is>
      </c>
    </row>
    <row r="201">
      <c r="A201" s="10" t="inlineStr">
        <is>
          <t>S1 — EFB Screw Press Operator</t>
        </is>
      </c>
      <c r="B201" s="53" t="n">
        <v>2</v>
      </c>
      <c r="C201" s="46" t="n">
        <v>450</v>
      </c>
      <c r="D201" s="53" t="inlineStr">
        <is>
          <t>2-shift</t>
        </is>
      </c>
      <c r="E201" s="22">
        <f>B201*C201</f>
        <v/>
      </c>
      <c r="F201" s="54" t="inlineStr">
        <is>
          <t>MC control, filtrate routing</t>
        </is>
      </c>
    </row>
    <row r="202">
      <c r="A202" s="10" t="inlineStr">
        <is>
          <t>S1 — OPDC Line Operator (shredder + hammer mill)</t>
        </is>
      </c>
      <c r="B202" s="53" t="n">
        <v>2</v>
      </c>
      <c r="C202" s="46" t="n">
        <v>450</v>
      </c>
      <c r="D202" s="53" t="inlineStr">
        <is>
          <t>2-shift</t>
        </is>
      </c>
      <c r="E202" s="22">
        <f>B202*C202</f>
        <v/>
      </c>
      <c r="F202" s="54" t="inlineStr"/>
    </row>
    <row r="203">
      <c r="A203" s="10" t="inlineStr">
        <is>
          <t>S1 — OPDC Conveyor / Press Operator</t>
        </is>
      </c>
      <c r="B203" s="53" t="n">
        <v>2</v>
      </c>
      <c r="C203" s="46" t="n">
        <v>400</v>
      </c>
      <c r="D203" s="53" t="inlineStr">
        <is>
          <t>2-shift</t>
        </is>
      </c>
      <c r="E203" s="22">
        <f>B203*C203</f>
        <v/>
      </c>
      <c r="F203" s="54" t="inlineStr"/>
    </row>
    <row r="204">
      <c r="A204" s="10" t="inlineStr">
        <is>
          <t>S1 — POS Decanter Operator</t>
        </is>
      </c>
      <c r="B204" s="53" t="n">
        <v>1</v>
      </c>
      <c r="C204" s="46" t="n">
        <v>550</v>
      </c>
      <c r="D204" s="53" t="inlineStr">
        <is>
          <t>day</t>
        </is>
      </c>
      <c r="E204" s="22">
        <f>B204*C204</f>
        <v/>
      </c>
      <c r="F204" s="54" t="inlineStr">
        <is>
          <t>Skilled: centrifuge operation + Fe gate sampling</t>
        </is>
      </c>
    </row>
    <row r="205">
      <c r="A205" s="10" t="inlineStr">
        <is>
          <t>S1 — Wheel Loader Operator (EFB/OPDC feed)</t>
        </is>
      </c>
      <c r="B205" s="53" t="n">
        <v>2</v>
      </c>
      <c r="C205" s="46" t="n">
        <v>500</v>
      </c>
      <c r="D205" s="53" t="inlineStr">
        <is>
          <t>2-shift</t>
        </is>
      </c>
      <c r="E205" s="22">
        <f>B205*C205</f>
        <v/>
      </c>
      <c r="F205" s="54" t="inlineStr">
        <is>
          <t>Komatsu WA100</t>
        </is>
      </c>
    </row>
    <row r="206">
      <c r="A206" s="10" t="inlineStr">
        <is>
          <t>S1 — Dump Truck Driver (mill to S1)</t>
        </is>
      </c>
      <c r="B206" s="53" t="n">
        <v>2</v>
      </c>
      <c r="C206" s="46" t="n">
        <v>450</v>
      </c>
      <c r="D206" s="53" t="inlineStr">
        <is>
          <t>2-shift</t>
        </is>
      </c>
      <c r="E206" s="22">
        <f>B206*C206</f>
        <v/>
      </c>
      <c r="F206" s="54" t="inlineStr">
        <is>
          <t>2x 10t dump trucks</t>
        </is>
      </c>
    </row>
    <row r="207">
      <c r="A207" s="10" t="inlineStr">
        <is>
          <t>S2 — Chemical Dosing Operator</t>
        </is>
      </c>
      <c r="B207" s="53" t="n">
        <v>2</v>
      </c>
      <c r="C207" s="46" t="n">
        <v>500</v>
      </c>
      <c r="D207" s="53" t="inlineStr">
        <is>
          <t>2-shift</t>
        </is>
      </c>
      <c r="E207" s="22">
        <f>B207*C207</f>
        <v/>
      </c>
      <c r="F207" s="54" t="inlineStr">
        <is>
          <t>PKSA/chemical mixing, pH monitoring</t>
        </is>
      </c>
    </row>
    <row r="208">
      <c r="A208" s="10" t="inlineStr">
        <is>
          <t>S2 — Neutralisation Bay Attendant</t>
        </is>
      </c>
      <c r="B208" s="53" t="n">
        <v>2</v>
      </c>
      <c r="C208" s="46" t="n">
        <v>400</v>
      </c>
      <c r="D208" s="53" t="inlineStr">
        <is>
          <t>2-shift</t>
        </is>
      </c>
      <c r="E208" s="22">
        <f>B208*C208</f>
        <v/>
      </c>
      <c r="F208" s="54" t="inlineStr">
        <is>
          <t>Turnings at 8-12hr and 16-20hr</t>
        </is>
      </c>
    </row>
    <row r="209">
      <c r="A209" s="10" t="inlineStr">
        <is>
          <t>S3 — Biological Inoculation Technician</t>
        </is>
      </c>
      <c r="B209" s="53" t="n">
        <v>1</v>
      </c>
      <c r="C209" s="46" t="n">
        <v>600</v>
      </c>
      <c r="D209" s="53" t="inlineStr">
        <is>
          <t>day</t>
        </is>
      </c>
      <c r="E209" s="22">
        <f>B209*C209</f>
        <v/>
      </c>
      <c r="F209" s="54" t="inlineStr">
        <is>
          <t>Consortium preparation, spray application</t>
        </is>
      </c>
    </row>
    <row r="210">
      <c r="A210" s="10" t="inlineStr">
        <is>
          <t>S3 — Composting / Windrow Operator</t>
        </is>
      </c>
      <c r="B210" s="53" t="n">
        <v>2</v>
      </c>
      <c r="C210" s="46" t="n">
        <v>450</v>
      </c>
      <c r="D210" s="53" t="inlineStr">
        <is>
          <t>2-shift</t>
        </is>
      </c>
      <c r="E210" s="22">
        <f>B210*C210</f>
        <v/>
      </c>
      <c r="F210" s="54" t="inlineStr">
        <is>
          <t>Windrow turner + aeration monitoring</t>
        </is>
      </c>
    </row>
    <row r="211">
      <c r="A211" s="10" t="inlineStr">
        <is>
          <t>S3 — Bobcat Operator (substrate handling)</t>
        </is>
      </c>
      <c r="B211" s="53" t="n">
        <v>1</v>
      </c>
      <c r="C211" s="46" t="n">
        <v>450</v>
      </c>
      <c r="D211" s="53" t="inlineStr">
        <is>
          <t>day</t>
        </is>
      </c>
      <c r="E211" s="22">
        <f>B211*C211</f>
        <v/>
      </c>
      <c r="F211" s="54" t="inlineStr">
        <is>
          <t>S650 skid-steer</t>
        </is>
      </c>
    </row>
    <row r="212">
      <c r="A212" s="10" t="inlineStr">
        <is>
          <t>S4 — Greenhouse Supervisor</t>
        </is>
      </c>
      <c r="B212" s="53" t="n">
        <v>1</v>
      </c>
      <c r="C212" s="46" t="n">
        <v>900</v>
      </c>
      <c r="D212" s="53" t="inlineStr">
        <is>
          <t>day</t>
        </is>
      </c>
      <c r="E212" s="22">
        <f>B212*C212</f>
        <v/>
      </c>
      <c r="F212" s="54" t="inlineStr">
        <is>
          <t>Overall BSF rearing management</t>
        </is>
      </c>
    </row>
    <row r="213">
      <c r="A213" s="10" t="inlineStr">
        <is>
          <t>S4 — BSF Tray Attendant (feeding + monitoring)</t>
        </is>
      </c>
      <c r="B213" s="53" t="n">
        <v>8</v>
      </c>
      <c r="C213" s="46" t="n">
        <v>400</v>
      </c>
      <c r="D213" s="53" t="inlineStr">
        <is>
          <t>2-shift</t>
        </is>
      </c>
      <c r="E213" s="22">
        <f>B213*C213</f>
        <v/>
      </c>
      <c r="F213" s="54" t="inlineStr">
        <is>
          <t>4 per shift, 5000m2 per attendant</t>
        </is>
      </c>
    </row>
    <row r="214">
      <c r="A214" s="10" t="inlineStr">
        <is>
          <t>S4 — BSF Neonate Nursery Technician</t>
        </is>
      </c>
      <c r="B214" s="53" t="n">
        <v>2</v>
      </c>
      <c r="C214" s="46" t="n">
        <v>550</v>
      </c>
      <c r="D214" s="53" t="inlineStr">
        <is>
          <t>2-shift</t>
        </is>
      </c>
      <c r="E214" s="22">
        <f>B214*C214</f>
        <v/>
      </c>
      <c r="F214" s="54" t="inlineStr">
        <is>
          <t>Colony management, egg collection</t>
        </is>
      </c>
    </row>
    <row r="215">
      <c r="A215" s="10" t="inlineStr">
        <is>
          <t>S4 — Greenhouse Climate / IoT Technician</t>
        </is>
      </c>
      <c r="B215" s="53" t="n">
        <v>1</v>
      </c>
      <c r="C215" s="46" t="n">
        <v>700</v>
      </c>
      <c r="D215" s="53" t="inlineStr">
        <is>
          <t>day</t>
        </is>
      </c>
      <c r="E215" s="22">
        <f>B215*C215</f>
        <v/>
      </c>
      <c r="F215" s="54" t="inlineStr">
        <is>
          <t>SCADA/PLC, sensor maintenance</t>
        </is>
      </c>
    </row>
    <row r="216">
      <c r="A216" s="10" t="inlineStr">
        <is>
          <t>S4 — Bobcat Operator (greenhouse internal)</t>
        </is>
      </c>
      <c r="B216" s="53" t="n">
        <v>2</v>
      </c>
      <c r="C216" s="46" t="n">
        <v>450</v>
      </c>
      <c r="D216" s="53" t="inlineStr">
        <is>
          <t>2-shift</t>
        </is>
      </c>
      <c r="E216" s="22">
        <f>B216*C216</f>
        <v/>
      </c>
      <c r="F216" s="54" t="inlineStr">
        <is>
          <t>S450, substrate + frass movement</t>
        </is>
      </c>
    </row>
    <row r="217">
      <c r="A217" s="10" t="inlineStr">
        <is>
          <t>S4 — Forklift Operator (greenhouse)</t>
        </is>
      </c>
      <c r="B217" s="53" t="n">
        <v>2</v>
      </c>
      <c r="C217" s="46" t="n">
        <v>400</v>
      </c>
      <c r="D217" s="53" t="inlineStr">
        <is>
          <t>2-shift</t>
        </is>
      </c>
      <c r="E217" s="22">
        <f>B217*C217</f>
        <v/>
      </c>
      <c r="F217" s="54" t="inlineStr">
        <is>
          <t>1.5t electric forklifts</t>
        </is>
      </c>
    </row>
    <row r="218">
      <c r="A218" s="10" t="inlineStr">
        <is>
          <t>S5A — Frass Screening / Bagging Operator</t>
        </is>
      </c>
      <c r="B218" s="53" t="n">
        <v>2</v>
      </c>
      <c r="C218" s="46" t="n">
        <v>400</v>
      </c>
      <c r="D218" s="53" t="inlineStr">
        <is>
          <t>2-shift</t>
        </is>
      </c>
      <c r="E218" s="22">
        <f>B218*C218</f>
        <v/>
      </c>
      <c r="F218" s="54" t="inlineStr"/>
    </row>
    <row r="219">
      <c r="A219" s="10" t="inlineStr">
        <is>
          <t>S5B — Larvae Separation Operator</t>
        </is>
      </c>
      <c r="B219" s="53" t="n">
        <v>2</v>
      </c>
      <c r="C219" s="46" t="n">
        <v>450</v>
      </c>
      <c r="D219" s="53" t="inlineStr">
        <is>
          <t>2-shift</t>
        </is>
      </c>
      <c r="E219" s="22">
        <f>B219*C219</f>
        <v/>
      </c>
      <c r="F219" s="54" t="inlineStr">
        <is>
          <t>Vibrating separator + thermal</t>
        </is>
      </c>
    </row>
    <row r="220">
      <c r="A220" s="10" t="inlineStr">
        <is>
          <t>S5B — Oil Press / Dryer Operator</t>
        </is>
      </c>
      <c r="B220" s="53" t="n">
        <v>2</v>
      </c>
      <c r="C220" s="46" t="n">
        <v>500</v>
      </c>
      <c r="D220" s="53" t="inlineStr">
        <is>
          <t>2-shift</t>
        </is>
      </c>
      <c r="E220" s="22">
        <f>B220*C220</f>
        <v/>
      </c>
      <c r="F220" s="54" t="inlineStr">
        <is>
          <t>Screw press + belt dryer</t>
        </is>
      </c>
    </row>
    <row r="221">
      <c r="A221" s="10" t="inlineStr">
        <is>
          <t>Warehouse — Forklift Operator</t>
        </is>
      </c>
      <c r="B221" s="53" t="n">
        <v>2</v>
      </c>
      <c r="C221" s="46" t="n">
        <v>400</v>
      </c>
      <c r="D221" s="53" t="inlineStr">
        <is>
          <t>2-shift</t>
        </is>
      </c>
      <c r="E221" s="22">
        <f>B221*C221</f>
        <v/>
      </c>
      <c r="F221" s="54" t="inlineStr">
        <is>
          <t>3t diesel forklift</t>
        </is>
      </c>
    </row>
    <row r="222">
      <c r="A222" s="10" t="inlineStr">
        <is>
          <t>Warehouse — Storeman / Inventory</t>
        </is>
      </c>
      <c r="B222" s="53" t="n">
        <v>1</v>
      </c>
      <c r="C222" s="46" t="n">
        <v>450</v>
      </c>
      <c r="D222" s="53" t="inlineStr">
        <is>
          <t>day</t>
        </is>
      </c>
      <c r="E222" s="22">
        <f>B222*C222</f>
        <v/>
      </c>
      <c r="F222" s="54" t="inlineStr">
        <is>
          <t>Stock control, dispatch</t>
        </is>
      </c>
    </row>
    <row r="223">
      <c r="A223" s="10" t="inlineStr">
        <is>
          <t>Logistics — Flatbed Truck Driver</t>
        </is>
      </c>
      <c r="B223" s="53" t="n">
        <v>1</v>
      </c>
      <c r="C223" s="46" t="n">
        <v>450</v>
      </c>
      <c r="D223" s="53" t="inlineStr">
        <is>
          <t>day</t>
        </is>
      </c>
      <c r="E223" s="22">
        <f>B223*C223</f>
        <v/>
      </c>
      <c r="F223" s="54" t="inlineStr">
        <is>
          <t>Product delivery</t>
        </is>
      </c>
    </row>
    <row r="224">
      <c r="A224" s="10" t="inlineStr">
        <is>
          <t>Logistics — Tanker Truck Driver</t>
        </is>
      </c>
      <c r="B224" s="53" t="n">
        <v>1</v>
      </c>
      <c r="C224" s="46" t="n">
        <v>450</v>
      </c>
      <c r="D224" s="53" t="inlineStr">
        <is>
          <t>day</t>
        </is>
      </c>
      <c r="E224" s="22">
        <f>B224*C224</f>
        <v/>
      </c>
      <c r="F224" s="54" t="inlineStr">
        <is>
          <t>Water/POME</t>
        </is>
      </c>
    </row>
    <row r="225">
      <c r="A225" s="10" t="inlineStr">
        <is>
          <t>Site Manager</t>
        </is>
      </c>
      <c r="B225" s="53" t="n">
        <v>1</v>
      </c>
      <c r="C225" s="46" t="n">
        <v>1500</v>
      </c>
      <c r="D225" s="53" t="inlineStr">
        <is>
          <t>day</t>
        </is>
      </c>
      <c r="E225" s="22">
        <f>B225*C225</f>
        <v/>
      </c>
      <c r="F225" s="54" t="inlineStr">
        <is>
          <t>Overall plant management</t>
        </is>
      </c>
    </row>
    <row r="226">
      <c r="A226" s="10" t="inlineStr">
        <is>
          <t>Production Supervisor (S1-S3)</t>
        </is>
      </c>
      <c r="B226" s="53" t="n">
        <v>1</v>
      </c>
      <c r="C226" s="46" t="n">
        <v>1000</v>
      </c>
      <c r="D226" s="53" t="inlineStr">
        <is>
          <t>day</t>
        </is>
      </c>
      <c r="E226" s="22">
        <f>B226*C226</f>
        <v/>
      </c>
      <c r="F226" s="54" t="inlineStr">
        <is>
          <t>Preprocessing + treatment</t>
        </is>
      </c>
    </row>
    <row r="227">
      <c r="A227" s="10" t="inlineStr">
        <is>
          <t>Quality Control / Lab Technician</t>
        </is>
      </c>
      <c r="B227" s="53" t="n">
        <v>2</v>
      </c>
      <c r="C227" s="46" t="n">
        <v>650</v>
      </c>
      <c r="D227" s="53" t="inlineStr">
        <is>
          <t>day</t>
        </is>
      </c>
      <c r="E227" s="22">
        <f>B227*C227</f>
        <v/>
      </c>
      <c r="F227" s="54" t="inlineStr">
        <is>
          <t>pH, MC, ICP-OES, sampling</t>
        </is>
      </c>
    </row>
    <row r="228">
      <c r="A228" s="10" t="inlineStr">
        <is>
          <t>Maintenance Technician (mechanical)</t>
        </is>
      </c>
      <c r="B228" s="53" t="n">
        <v>2</v>
      </c>
      <c r="C228" s="46" t="n">
        <v>600</v>
      </c>
      <c r="D228" s="53" t="inlineStr">
        <is>
          <t>day</t>
        </is>
      </c>
      <c r="E228" s="22">
        <f>B228*C228</f>
        <v/>
      </c>
      <c r="F228" s="54" t="inlineStr">
        <is>
          <t>All mechanical equipment</t>
        </is>
      </c>
    </row>
    <row r="229">
      <c r="A229" s="10" t="inlineStr">
        <is>
          <t>Maintenance Technician (electrical/IoT)</t>
        </is>
      </c>
      <c r="B229" s="53" t="n">
        <v>1</v>
      </c>
      <c r="C229" s="46" t="n">
        <v>650</v>
      </c>
      <c r="D229" s="53" t="inlineStr">
        <is>
          <t>day</t>
        </is>
      </c>
      <c r="E229" s="22">
        <f>B229*C229</f>
        <v/>
      </c>
      <c r="F229" s="54" t="inlineStr">
        <is>
          <t>Electrical, sensors, PLC</t>
        </is>
      </c>
    </row>
    <row r="230">
      <c r="A230" s="10" t="inlineStr">
        <is>
          <t>HSE Officer</t>
        </is>
      </c>
      <c r="B230" s="53" t="n">
        <v>1</v>
      </c>
      <c r="C230" s="46" t="n">
        <v>700</v>
      </c>
      <c r="D230" s="53" t="inlineStr">
        <is>
          <t>day</t>
        </is>
      </c>
      <c r="E230" s="22">
        <f>B230*C230</f>
        <v/>
      </c>
      <c r="F230" s="54" t="inlineStr">
        <is>
          <t>Safety, PPE, NaOH handling</t>
        </is>
      </c>
    </row>
    <row r="231">
      <c r="A231" s="10" t="inlineStr">
        <is>
          <t>Admin / Finance</t>
        </is>
      </c>
      <c r="B231" s="53" t="n">
        <v>2</v>
      </c>
      <c r="C231" s="46" t="n">
        <v>500</v>
      </c>
      <c r="D231" s="53" t="inlineStr">
        <is>
          <t>day</t>
        </is>
      </c>
      <c r="E231" s="22">
        <f>B231*C231</f>
        <v/>
      </c>
      <c r="F231" s="54" t="inlineStr"/>
    </row>
    <row r="232">
      <c r="A232" s="10" t="inlineStr">
        <is>
          <t>Security (gate + night)</t>
        </is>
      </c>
      <c r="B232" s="53" t="n">
        <v>3</v>
      </c>
      <c r="C232" s="46" t="n">
        <v>350</v>
      </c>
      <c r="D232" s="53" t="inlineStr">
        <is>
          <t>3-shift</t>
        </is>
      </c>
      <c r="E232" s="22">
        <f>B232*C232</f>
        <v/>
      </c>
      <c r="F232" s="54" t="inlineStr">
        <is>
          <t>24/7 coverage</t>
        </is>
      </c>
    </row>
    <row r="233">
      <c r="A233" s="10" t="inlineStr">
        <is>
          <t>Cleaner / General Labour</t>
        </is>
      </c>
      <c r="B233" s="53" t="n">
        <v>4</v>
      </c>
      <c r="C233" s="46" t="n">
        <v>350</v>
      </c>
      <c r="D233" s="53" t="inlineStr">
        <is>
          <t>2-shift</t>
        </is>
      </c>
      <c r="E233" s="22">
        <f>B233*C233</f>
        <v/>
      </c>
      <c r="F233" s="54" t="inlineStr">
        <is>
          <t>Site-wide</t>
        </is>
      </c>
    </row>
    <row r="234">
      <c r="A234" s="15" t="inlineStr">
        <is>
          <t>TOTAL STAFFING</t>
        </is>
      </c>
      <c r="B234" s="55">
        <f>SUM(B199:B233)</f>
        <v/>
      </c>
      <c r="E234" s="51">
        <f>SUM(E199:E233)</f>
        <v/>
      </c>
    </row>
    <row r="235">
      <c r="A235" s="7" t="inlineStr">
        <is>
          <t>ANNUAL LABOUR COST (x12 months)</t>
        </is>
      </c>
      <c r="E235" s="22">
        <f>E234*12</f>
        <v/>
      </c>
    </row>
    <row r="237">
      <c r="A237" s="3" t="inlineStr">
        <is>
          <t>DEVELOPMENT &amp; INSTALLATION MARKUPS</t>
        </is>
      </c>
      <c r="B237" s="3" t="n"/>
      <c r="C237" s="3" t="n"/>
    </row>
    <row r="238">
      <c r="A238" s="9" t="inlineStr">
        <is>
          <t>Equipment / Item</t>
        </is>
      </c>
      <c r="B238" s="9" t="inlineStr">
        <is>
          <t>Estimated Cost (USD)</t>
        </is>
      </c>
      <c r="C238" s="9" t="inlineStr">
        <is>
          <t>Category</t>
        </is>
      </c>
    </row>
    <row r="239">
      <c r="A239" s="7" t="inlineStr">
        <is>
          <t>Equipment CAPEX Subtotal (excl. Process Building EPC)</t>
        </is>
      </c>
      <c r="B239" s="22">
        <f>IFERROR(SUM(B5:B236)-SUM(B97:B107),0)</f>
        <v/>
      </c>
      <c r="C239" s="2" t="inlineStr">
        <is>
          <t>Base for PE/Fixer</t>
        </is>
      </c>
    </row>
    <row r="240">
      <c r="A240" s="10" t="inlineStr">
        <is>
          <t>Process Engineer / Fixer @ 20% (on equipment, NOT on EPC)</t>
        </is>
      </c>
      <c r="B240" s="22">
        <f>IFERROR(B239*0.20,0)</f>
        <v/>
      </c>
      <c r="C240" s="10" t="inlineStr">
        <is>
          <t>Markup</t>
        </is>
      </c>
    </row>
    <row r="241">
      <c r="A241" s="10" t="inlineStr">
        <is>
          <t>Local EPC @ 15%</t>
        </is>
      </c>
      <c r="B241" s="22">
        <f>IFERROR((B239+SUM(B97:B107))*0.15,0)</f>
        <v/>
      </c>
      <c r="C241" s="10" t="inlineStr">
        <is>
          <t>Markup</t>
        </is>
      </c>
    </row>
    <row r="242">
      <c r="A242" s="7" t="inlineStr">
        <is>
          <t>Markups Subtotal</t>
        </is>
      </c>
      <c r="B242" s="22">
        <f>SUM(B240:B241)</f>
        <v/>
      </c>
    </row>
    <row r="244">
      <c r="A244" s="3" t="inlineStr">
        <is>
          <t>TOTAL CAPEX SUMMARY</t>
        </is>
      </c>
      <c r="B244" s="3" t="n"/>
      <c r="C244" s="3" t="n"/>
    </row>
    <row r="245">
      <c r="A245" s="38" t="inlineStr">
        <is>
          <t>TOTAL CAPEX (all equipment + building + markups)</t>
        </is>
      </c>
      <c r="B245" s="51">
        <f>IFERROR(SUM(B5:B244),0)</f>
        <v/>
      </c>
    </row>
    <row r="247">
      <c r="A247" s="3" t="inlineStr">
        <is>
          <t>MONTHLY OPERATING EXPENDITURE (OPEX)</t>
        </is>
      </c>
      <c r="B247" s="3" t="n"/>
      <c r="C247" s="3" t="n"/>
      <c r="D247" s="3" t="n"/>
    </row>
    <row r="248">
      <c r="A248" s="9" t="inlineStr">
        <is>
          <t>Cost Item</t>
        </is>
      </c>
      <c r="B248" s="9" t="inlineStr">
        <is>
          <t>Monthly Cost (USD)</t>
        </is>
      </c>
      <c r="C248" s="9" t="inlineStr">
        <is>
          <t>Notes</t>
        </is>
      </c>
    </row>
    <row r="249">
      <c r="A249" s="10" t="inlineStr">
        <is>
          <t>Chemical Treatment</t>
        </is>
      </c>
      <c r="B249" s="22">
        <f>IFERROR(S2_Chemical_Treatment!B33,0)</f>
        <v/>
      </c>
      <c r="C249" s="2" t="inlineStr">
        <is>
          <t>From Stage 2</t>
        </is>
      </c>
    </row>
    <row r="250">
      <c r="A250" s="10" t="inlineStr">
        <is>
          <t>Biological Treatment</t>
        </is>
      </c>
      <c r="B250" s="22">
        <f>IFERROR(S3_Biological_Treatment!B33,0)</f>
        <v/>
      </c>
      <c r="C250" s="2" t="inlineStr">
        <is>
          <t>From Stage 3</t>
        </is>
      </c>
    </row>
    <row r="251">
      <c r="A251" s="10" t="inlineStr">
        <is>
          <t>BSF Neonates</t>
        </is>
      </c>
      <c r="B251" s="22">
        <f>IFERROR(S4_BSF_Rearing!B8,0)</f>
        <v/>
      </c>
      <c r="C251" s="2" t="inlineStr">
        <is>
          <t>From Stage 4</t>
        </is>
      </c>
    </row>
    <row r="252">
      <c r="A252" s="10" t="inlineStr">
        <is>
          <t>Processing (S5B)</t>
        </is>
      </c>
      <c r="B252" s="22">
        <f>IFERROR(S5B_BSF_Extraction!B29,0)</f>
        <v/>
      </c>
      <c r="C252" s="2" t="inlineStr">
        <is>
          <t>From Stage 5B</t>
        </is>
      </c>
    </row>
    <row r="253">
      <c r="A253" s="10" t="inlineStr">
        <is>
          <t>Energy / Utilities</t>
        </is>
      </c>
      <c r="B253" s="22">
        <f>IFERROR(S1_Preprocessing!B30,0)</f>
        <v/>
      </c>
      <c r="C253" s="2" t="inlineStr">
        <is>
          <t>From Stage 1</t>
        </is>
      </c>
    </row>
    <row r="254">
      <c r="A254" s="10" t="inlineStr">
        <is>
          <t>Labour (full staffing)</t>
        </is>
      </c>
      <c r="B254" s="22">
        <f>E234</f>
        <v/>
      </c>
      <c r="C254" s="2" t="inlineStr">
        <is>
          <t>67 staff — see staffing section row 234</t>
        </is>
      </c>
    </row>
    <row r="255">
      <c r="A255" s="10" t="inlineStr">
        <is>
          <t>Maintenance (2% CAPEX/month)</t>
        </is>
      </c>
      <c r="B255" s="22">
        <f>IFERROR(B245*0.02/12,0)</f>
        <v/>
      </c>
      <c r="C255" s="2" t="inlineStr">
        <is>
          <t>Industry standard</t>
        </is>
      </c>
    </row>
    <row r="256">
      <c r="A256" s="10" t="inlineStr">
        <is>
          <t>Political Risk Insurance @ 2% p.a.</t>
        </is>
      </c>
      <c r="B256" s="22">
        <f>IFERROR(B245*0.02/12,0)</f>
        <v/>
      </c>
      <c r="C256" s="2" t="inlineStr">
        <is>
          <t>2% annual on total CAPEX, monthly provision</t>
        </is>
      </c>
    </row>
    <row r="257">
      <c r="A257" s="10" t="inlineStr">
        <is>
          <t>Quality Control / Lab</t>
        </is>
      </c>
      <c r="B257" s="46" t="n">
        <v>2000</v>
      </c>
      <c r="C257" s="2" t="inlineStr">
        <is>
          <t>Monthly QC testing</t>
        </is>
      </c>
    </row>
    <row r="258">
      <c r="A258" s="10" t="inlineStr">
        <is>
          <t>Transport / Logistics</t>
        </is>
      </c>
      <c r="B258" s="46" t="n">
        <v>3000</v>
      </c>
      <c r="C258" s="2" t="inlineStr">
        <is>
          <t>Product distribution</t>
        </is>
      </c>
    </row>
    <row r="259">
      <c r="A259" s="38" t="inlineStr">
        <is>
          <t>TOTAL MONTHLY OPEX</t>
        </is>
      </c>
      <c r="B259" s="52">
        <f>IFERROR(SUM(B249:B258),0)</f>
        <v/>
      </c>
    </row>
    <row r="261">
      <c r="A261" s="3" t="inlineStr">
        <is>
          <t>PAYBACK &amp; NPV ANALYSIS</t>
        </is>
      </c>
      <c r="B261" s="3" t="n"/>
      <c r="C261" s="3" t="n"/>
      <c r="D261" s="3" t="n"/>
    </row>
    <row r="262">
      <c r="A262" s="4" t="inlineStr">
        <is>
          <t>Total CAPEX</t>
        </is>
      </c>
      <c r="B262" s="22">
        <f>B245</f>
        <v/>
      </c>
    </row>
    <row r="263">
      <c r="A263" s="4" t="inlineStr">
        <is>
          <t>Monthly Gross Profit</t>
        </is>
      </c>
      <c r="B263" s="22">
        <f>IFERROR(Summary_Dashboard!B24-B259,0)</f>
        <v/>
      </c>
    </row>
    <row r="264">
      <c r="A264" s="38" t="inlineStr">
        <is>
          <t>Payback Period (months)</t>
        </is>
      </c>
      <c r="B264" s="42">
        <f>IFERROR(B262/B263,0)</f>
        <v/>
      </c>
    </row>
    <row r="265">
      <c r="A265" s="4" t="inlineStr">
        <is>
          <t>Payback Period (years)</t>
        </is>
      </c>
      <c r="B265" s="13">
        <f>IFERROR(B264/12,0)</f>
        <v/>
      </c>
    </row>
    <row r="267">
      <c r="A267" s="4" t="inlineStr">
        <is>
          <t>IRR Discount Rate (user-adjustable)</t>
        </is>
      </c>
      <c r="B267" s="56" t="n">
        <v>0.12</v>
      </c>
    </row>
    <row r="268">
      <c r="A268" s="4" t="inlineStr">
        <is>
          <t>Annual Net Cash Flow</t>
        </is>
      </c>
      <c r="B268" s="22">
        <f>IFERROR(B263*12,0)</f>
        <v/>
      </c>
    </row>
    <row r="269">
      <c r="A269" s="7" t="inlineStr">
        <is>
          <t>5-Year NPV (simple estimate)</t>
        </is>
      </c>
      <c r="B269" s="30">
        <f>IFERROR(B268/(1+B267)^1+B268/(1+B267)^2+B268/(1+B267)^3+B268/(1+B267)^4+B268/(1+B267)^5-B262,0)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2026-04-09T11:20:15Z</dcterms:created>
  <dcterms:modified xsi:type="dcterms:W3CDTF">2026-04-09T11:20:15Z</dcterms:modified>
</cp:coreProperties>
</file>